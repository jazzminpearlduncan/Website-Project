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/Users/jduncan/Downloads/"/>
    </mc:Choice>
  </mc:AlternateContent>
  <xr:revisionPtr revIDLastSave="0" documentId="13_ncr:1_{182DFA53-C0B0-4F4F-86DA-847B226641D3}" xr6:coauthVersionLast="47" xr6:coauthVersionMax="47" xr10:uidLastSave="{00000000-0000-0000-0000-000000000000}"/>
  <bookViews>
    <workbookView xWindow="0" yWindow="500" windowWidth="28800" windowHeight="17500" tabRatio="500" activeTab="14" xr2:uid="{00000000-000D-0000-FFFF-FFFF00000000}"/>
  </bookViews>
  <sheets>
    <sheet name="2024-25" sheetId="16" r:id="rId1"/>
    <sheet name="2023-24" sheetId="15" r:id="rId2"/>
    <sheet name="2022-23" sheetId="14" r:id="rId3"/>
    <sheet name="2021-22" sheetId="13" r:id="rId4"/>
    <sheet name="2019-20" sheetId="12" r:id="rId5"/>
    <sheet name="2018-19" sheetId="11" r:id="rId6"/>
    <sheet name="2017-18" sheetId="10" r:id="rId7"/>
    <sheet name="2016-17" sheetId="9" r:id="rId8"/>
    <sheet name="2015-16" sheetId="8" r:id="rId9"/>
    <sheet name="2014-15" sheetId="7" r:id="rId10"/>
    <sheet name="2013-14" sheetId="6" r:id="rId11"/>
    <sheet name="2012-13" sheetId="5" r:id="rId12"/>
    <sheet name="2011-12" sheetId="4" r:id="rId13"/>
    <sheet name="2010-11" sheetId="3" r:id="rId14"/>
    <sheet name="2009-10" sheetId="2" r:id="rId15"/>
    <sheet name="2008-09" sheetId="1" r:id="rId16"/>
  </sheets>
  <definedNames>
    <definedName name="_xlnm._FilterDatabase" localSheetId="1" hidden="1">'2023-24'!$A$1:$G$63</definedName>
    <definedName name="_xlnm._FilterDatabase" localSheetId="0" hidden="1">'2024-25'!$A$1:$H$64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</calcChain>
</file>

<file path=xl/sharedStrings.xml><?xml version="1.0" encoding="utf-8"?>
<sst xmlns="http://schemas.openxmlformats.org/spreadsheetml/2006/main" count="3885" uniqueCount="1332">
  <si>
    <t>Sat. April 16</t>
    <phoneticPr fontId="5" type="noConversion"/>
  </si>
  <si>
    <t>Luo Sr. Recital</t>
    <phoneticPr fontId="5" type="noConversion"/>
  </si>
  <si>
    <t>Wed. April 20</t>
    <phoneticPr fontId="5" type="noConversion"/>
  </si>
  <si>
    <t>Lyman Hall</t>
    <phoneticPr fontId="5" type="noConversion"/>
  </si>
  <si>
    <t>Cord a vide</t>
  </si>
  <si>
    <t>Mar. 6</t>
  </si>
  <si>
    <t>Ranz &amp; Friends Chamber Music</t>
  </si>
  <si>
    <t>Mar. 8</t>
  </si>
  <si>
    <t>Wm. Peterson, Bach</t>
  </si>
  <si>
    <t>Korean Trio</t>
  </si>
  <si>
    <t>Ussachevsky</t>
  </si>
  <si>
    <t>Feb. 22</t>
  </si>
  <si>
    <t>PC Orch w/J. Sanders</t>
    <phoneticPr fontId="5" type="noConversion"/>
  </si>
  <si>
    <t>Sun. Oct 10</t>
    <phoneticPr fontId="5" type="noConversion"/>
  </si>
  <si>
    <t>Anonymous 4</t>
    <phoneticPr fontId="5" type="noConversion"/>
  </si>
  <si>
    <t>count approx. due to early rush</t>
    <phoneticPr fontId="5" type="noConversion"/>
  </si>
  <si>
    <t>Lyman Hall</t>
    <phoneticPr fontId="5" type="noConversion"/>
  </si>
  <si>
    <t>ran out of programs</t>
    <phoneticPr fontId="5" type="noConversion"/>
  </si>
  <si>
    <t>May 2</t>
    <phoneticPr fontId="5" type="noConversion"/>
  </si>
  <si>
    <t>Memorial Service</t>
    <phoneticPr fontId="5" type="noConversion"/>
  </si>
  <si>
    <t>Alumni Weekend</t>
    <phoneticPr fontId="5" type="noConversion"/>
  </si>
  <si>
    <t>Mojave Trio</t>
  </si>
  <si>
    <t>Ap. 25</t>
  </si>
  <si>
    <t>PC Choir &amp; Orchestra</t>
  </si>
  <si>
    <t>Oct. 28</t>
  </si>
  <si>
    <t>Baroque Recital</t>
  </si>
  <si>
    <t>Nov. 1</t>
  </si>
  <si>
    <t>Little Bridges</t>
    <phoneticPr fontId="5" type="noConversion"/>
  </si>
  <si>
    <t>Mon. Nov. 1</t>
    <phoneticPr fontId="5" type="noConversion"/>
  </si>
  <si>
    <t>Fri. Feb. 25</t>
    <phoneticPr fontId="5" type="noConversion"/>
  </si>
  <si>
    <t>Sun. Feb. 27</t>
    <phoneticPr fontId="5" type="noConversion"/>
  </si>
  <si>
    <t>Feb. 12</t>
    <phoneticPr fontId="5" type="noConversion"/>
  </si>
  <si>
    <t>Bluegrass</t>
    <phoneticPr fontId="5" type="noConversion"/>
  </si>
  <si>
    <t>Feb. 13</t>
    <phoneticPr fontId="5" type="noConversion"/>
  </si>
  <si>
    <t>Kohn &amp; Kohn</t>
    <phoneticPr fontId="5" type="noConversion"/>
  </si>
  <si>
    <t>Academy Awards night</t>
    <phoneticPr fontId="5" type="noConversion"/>
  </si>
  <si>
    <t>Dec. 7</t>
  </si>
  <si>
    <t>Dec. 6</t>
  </si>
  <si>
    <t>Dec. 8</t>
  </si>
  <si>
    <t>Giri Kusuma</t>
  </si>
  <si>
    <t>Pomona College Choir</t>
  </si>
  <si>
    <t>Dec. 9</t>
  </si>
  <si>
    <t>Dec. 10</t>
  </si>
  <si>
    <t>Sept. 21</t>
  </si>
  <si>
    <t>Sept. 24</t>
  </si>
  <si>
    <t>Sept. 28</t>
  </si>
  <si>
    <t>Oct. 4</t>
  </si>
  <si>
    <t>Oct. 11</t>
  </si>
  <si>
    <t>Oct. 12</t>
  </si>
  <si>
    <t>Oct. 25</t>
  </si>
  <si>
    <t>Jr. Recital / Welds &amp; Guitar Quartet</t>
  </si>
  <si>
    <t>Mar. 31</t>
  </si>
  <si>
    <t>Ap. 1</t>
  </si>
  <si>
    <t>ran out of programs (150 0rdered)</t>
    <phoneticPr fontId="5" type="noConversion"/>
  </si>
  <si>
    <t>107º outside</t>
    <phoneticPr fontId="5" type="noConversion"/>
  </si>
  <si>
    <t>Pelev/Ashcraft</t>
  </si>
  <si>
    <t>Student Recital</t>
  </si>
  <si>
    <t>Nov. 2</t>
  </si>
  <si>
    <t>William Peterson</t>
  </si>
  <si>
    <t>Feb. 21</t>
    <phoneticPr fontId="5" type="noConversion"/>
  </si>
  <si>
    <t>Feb. 24</t>
    <phoneticPr fontId="5" type="noConversion"/>
  </si>
  <si>
    <t>Feb. 28</t>
    <phoneticPr fontId="5" type="noConversion"/>
  </si>
  <si>
    <t>Feb. 26</t>
    <phoneticPr fontId="5" type="noConversion"/>
  </si>
  <si>
    <t>Mar. 6</t>
    <phoneticPr fontId="5" type="noConversion"/>
  </si>
  <si>
    <t>Mar. 7</t>
    <phoneticPr fontId="5" type="noConversion"/>
  </si>
  <si>
    <t>Mar. 28</t>
    <phoneticPr fontId="5" type="noConversion"/>
  </si>
  <si>
    <t>Mar. 31</t>
    <phoneticPr fontId="5" type="noConversion"/>
  </si>
  <si>
    <t>Ap.2</t>
    <phoneticPr fontId="5" type="noConversion"/>
  </si>
  <si>
    <t>Ap. 7</t>
    <phoneticPr fontId="5" type="noConversion"/>
  </si>
  <si>
    <t>Sun. Mar 6</t>
    <phoneticPr fontId="5" type="noConversion"/>
  </si>
  <si>
    <t>East Meets West - Lee</t>
    <phoneticPr fontId="5" type="noConversion"/>
  </si>
  <si>
    <t>Francisco Aguabella</t>
  </si>
  <si>
    <t>Davitt Moroney</t>
  </si>
  <si>
    <t>75-82</t>
  </si>
  <si>
    <t>Millennium Consort Singers</t>
  </si>
  <si>
    <t>Fluid movement</t>
  </si>
  <si>
    <t>Pomona College Orchestra</t>
  </si>
  <si>
    <t>Feb. 19</t>
    <phoneticPr fontId="5" type="noConversion"/>
  </si>
  <si>
    <t>Ussachevsky - Fri</t>
    <phoneticPr fontId="5" type="noConversion"/>
  </si>
  <si>
    <t>Ussachevsky - Sat</t>
    <phoneticPr fontId="5" type="noConversion"/>
  </si>
  <si>
    <t>Fri. Feb. 4</t>
    <phoneticPr fontId="5" type="noConversion"/>
  </si>
  <si>
    <t>Sat. Feb. 5</t>
    <phoneticPr fontId="5" type="noConversion"/>
  </si>
  <si>
    <t>Sat. Nov. 13</t>
    <phoneticPr fontId="5" type="noConversion"/>
  </si>
  <si>
    <t>Nov. 16</t>
  </si>
  <si>
    <t>Academy Awards day</t>
  </si>
  <si>
    <t>~230</t>
  </si>
  <si>
    <t>Location</t>
  </si>
  <si>
    <t>Little Bridges</t>
  </si>
  <si>
    <t>Lyman Hall</t>
  </si>
  <si>
    <t>Mar. 9</t>
  </si>
  <si>
    <t>?</t>
  </si>
  <si>
    <t>Friday Noon Concert</t>
  </si>
  <si>
    <t>Feb. 20</t>
  </si>
  <si>
    <t>Ap. 17</t>
  </si>
  <si>
    <t>Yoon-Chan Kim (Jr. Recital)</t>
  </si>
  <si>
    <t>May. 7</t>
  </si>
  <si>
    <t>Taiko</t>
  </si>
  <si>
    <t>Ap. 26</t>
    <phoneticPr fontId="5" type="noConversion"/>
  </si>
  <si>
    <t>Verdi Requiem</t>
    <phoneticPr fontId="5" type="noConversion"/>
  </si>
  <si>
    <t>Sun. April 17</t>
    <phoneticPr fontId="5" type="noConversion"/>
  </si>
  <si>
    <t>alumni weekend</t>
    <phoneticPr fontId="5" type="noConversion"/>
  </si>
  <si>
    <t>Little Bridges</t>
    <phoneticPr fontId="5" type="noConversion"/>
  </si>
  <si>
    <t>G. Lee</t>
  </si>
  <si>
    <t>Memorial Convocation</t>
  </si>
  <si>
    <t>Feb. 6</t>
  </si>
  <si>
    <t>Mar. 28</t>
  </si>
  <si>
    <t>Berman, piano</t>
  </si>
  <si>
    <t>Ap. 27</t>
    <phoneticPr fontId="5" type="noConversion"/>
  </si>
  <si>
    <t>Ap. 29</t>
    <phoneticPr fontId="5" type="noConversion"/>
  </si>
  <si>
    <t>May 1</t>
    <phoneticPr fontId="5" type="noConversion"/>
  </si>
  <si>
    <t>~150</t>
  </si>
  <si>
    <t>20th &amp; 21st C. Chamber Music</t>
  </si>
  <si>
    <t>at one time - up to 100 total</t>
  </si>
  <si>
    <t>Oct. 3</t>
  </si>
  <si>
    <t>Lytle &amp; Lee</t>
    <phoneticPr fontId="5" type="noConversion"/>
  </si>
  <si>
    <t>no count</t>
    <phoneticPr fontId="5" type="noConversion"/>
  </si>
  <si>
    <t>Garrison</t>
    <phoneticPr fontId="5" type="noConversion"/>
  </si>
  <si>
    <t>125~</t>
    <phoneticPr fontId="5" type="noConversion"/>
  </si>
  <si>
    <t>Mar. 29</t>
  </si>
  <si>
    <t>Lytle &amp; Lee, 'Women's Voices'</t>
  </si>
  <si>
    <t>Albert McNeil Jubilee Singers</t>
  </si>
  <si>
    <t>OTHER:</t>
    <phoneticPr fontId="5" type="noConversion"/>
  </si>
  <si>
    <t>Gomez/Preston Jr./Sr. Recital</t>
  </si>
  <si>
    <t>Nov. 19</t>
  </si>
  <si>
    <t>Viver Brasil Demonstration/Lect</t>
  </si>
  <si>
    <t>Nov. 21</t>
  </si>
  <si>
    <t>Pomona College Band</t>
  </si>
  <si>
    <t>Wright/Moss</t>
    <phoneticPr fontId="5" type="noConversion"/>
  </si>
  <si>
    <t>Fri. Nov. 19</t>
    <phoneticPr fontId="5" type="noConversion"/>
  </si>
  <si>
    <t>PC Band</t>
    <phoneticPr fontId="5" type="noConversion"/>
  </si>
  <si>
    <t>Sun. Nov. 21</t>
    <phoneticPr fontId="5" type="noConversion"/>
  </si>
  <si>
    <t>Mon. Nov.. 29</t>
    <phoneticPr fontId="5" type="noConversion"/>
  </si>
  <si>
    <t>LONG</t>
    <phoneticPr fontId="5" type="noConversion"/>
  </si>
  <si>
    <t>cancelled</t>
    <phoneticPr fontId="5" type="noConversion"/>
  </si>
  <si>
    <t>Senior - Welds</t>
    <phoneticPr fontId="5" type="noConversion"/>
  </si>
  <si>
    <t>Senior - Preston</t>
    <phoneticPr fontId="5" type="noConversion"/>
  </si>
  <si>
    <t>Orch &amp; Choir</t>
    <phoneticPr fontId="5" type="noConversion"/>
  </si>
  <si>
    <t>Jazz Ens.</t>
    <phoneticPr fontId="5" type="noConversion"/>
  </si>
  <si>
    <t>Glee Club</t>
    <phoneticPr fontId="5" type="noConversion"/>
  </si>
  <si>
    <t>Glee Club</t>
    <phoneticPr fontId="5" type="noConversion"/>
  </si>
  <si>
    <t>Band</t>
    <phoneticPr fontId="5" type="noConversion"/>
  </si>
  <si>
    <t>Gamelan</t>
    <phoneticPr fontId="5" type="noConversion"/>
  </si>
  <si>
    <t>Student Recital</t>
    <phoneticPr fontId="5" type="noConversion"/>
  </si>
  <si>
    <t>Ap. 10</t>
    <phoneticPr fontId="5" type="noConversion"/>
  </si>
  <si>
    <t>Ap. 18</t>
    <phoneticPr fontId="5" type="noConversion"/>
  </si>
  <si>
    <t>Ap. 23</t>
    <phoneticPr fontId="5" type="noConversion"/>
  </si>
  <si>
    <t>Ap. 25</t>
    <phoneticPr fontId="5" type="noConversion"/>
  </si>
  <si>
    <t>Lyman Hall</t>
    <phoneticPr fontId="5" type="noConversion"/>
  </si>
  <si>
    <t>May 2</t>
    <phoneticPr fontId="5" type="noConversion"/>
  </si>
  <si>
    <t>rainy &amp; cold</t>
    <phoneticPr fontId="5" type="noConversion"/>
  </si>
  <si>
    <t>Nov. 14</t>
  </si>
  <si>
    <t>Millennium Consort S.</t>
  </si>
  <si>
    <t>Notes</t>
  </si>
  <si>
    <t>Nov. 30</t>
    <phoneticPr fontId="5" type="noConversion"/>
  </si>
  <si>
    <t>Afro-Cuban</t>
    <phoneticPr fontId="5" type="noConversion"/>
  </si>
  <si>
    <t>Lyman Hall</t>
    <phoneticPr fontId="5" type="noConversion"/>
  </si>
  <si>
    <t>Dec. 4</t>
    <phoneticPr fontId="5" type="noConversion"/>
  </si>
  <si>
    <t>Pelev, Ko, Ashcraft</t>
    <phoneticPr fontId="5" type="noConversion"/>
  </si>
  <si>
    <t>Sat. Oct. 9</t>
    <phoneticPr fontId="5" type="noConversion"/>
  </si>
  <si>
    <t>Todor Pelev</t>
    <phoneticPr fontId="5" type="noConversion"/>
  </si>
  <si>
    <t>Wed. Oct 27</t>
    <phoneticPr fontId="5" type="noConversion"/>
  </si>
  <si>
    <t>Afro-Cuban Drumming Ens</t>
    <phoneticPr fontId="5" type="noConversion"/>
  </si>
  <si>
    <t>Fri. Dec. 3</t>
    <phoneticPr fontId="5" type="noConversion"/>
  </si>
  <si>
    <t>PC Choir</t>
    <phoneticPr fontId="5" type="noConversion"/>
  </si>
  <si>
    <t>PC Orchestra</t>
    <phoneticPr fontId="5" type="noConversion"/>
  </si>
  <si>
    <t>Sun. Dec. 5</t>
    <phoneticPr fontId="5" type="noConversion"/>
  </si>
  <si>
    <t>Mon. Dec. 6</t>
    <phoneticPr fontId="5" type="noConversion"/>
  </si>
  <si>
    <t>PC Gamelan</t>
    <phoneticPr fontId="5" type="noConversion"/>
  </si>
  <si>
    <t>Tues. Dec. 7</t>
    <phoneticPr fontId="5" type="noConversion"/>
  </si>
  <si>
    <t>Wed. Dec. 8</t>
    <phoneticPr fontId="5" type="noConversion"/>
  </si>
  <si>
    <t>Sun. Sept 26</t>
    <phoneticPr fontId="5" type="noConversion"/>
  </si>
  <si>
    <t>Feb. 27</t>
  </si>
  <si>
    <t>March. 1</t>
  </si>
  <si>
    <t>Mar. 4</t>
  </si>
  <si>
    <t>Feb.  6</t>
    <phoneticPr fontId="5" type="noConversion"/>
  </si>
  <si>
    <t>Nov. 3</t>
  </si>
  <si>
    <t>Amir ElSaffar Lecture/Demo</t>
  </si>
  <si>
    <t>Monday after Halloween/first of month</t>
  </si>
  <si>
    <t>by Graydon in audience</t>
  </si>
  <si>
    <t>Fires</t>
  </si>
  <si>
    <t>EnsembleGREEN</t>
  </si>
  <si>
    <t>176+</t>
  </si>
  <si>
    <t>Ap. 26</t>
  </si>
  <si>
    <t>Ap. 24</t>
  </si>
  <si>
    <t>Sat. Sept. 25</t>
    <phoneticPr fontId="5" type="noConversion"/>
  </si>
  <si>
    <t>D. Alexander Memorial</t>
    <phoneticPr fontId="5" type="noConversion"/>
  </si>
  <si>
    <t>May 3</t>
    <phoneticPr fontId="5" type="noConversion"/>
  </si>
  <si>
    <t>May 4</t>
    <phoneticPr fontId="5" type="noConversion"/>
  </si>
  <si>
    <t>May 5</t>
    <phoneticPr fontId="5" type="noConversion"/>
  </si>
  <si>
    <t>Ming Tsu</t>
    <phoneticPr fontId="5" type="noConversion"/>
  </si>
  <si>
    <t>Friday/Cold &amp; Rainy</t>
    <phoneticPr fontId="5" type="noConversion"/>
  </si>
  <si>
    <t>Sat. Mar 26</t>
    <phoneticPr fontId="5" type="noConversion"/>
  </si>
  <si>
    <t>Sayles Sr. Recital</t>
    <phoneticPr fontId="5" type="noConversion"/>
  </si>
  <si>
    <t>Sun. Mar 27</t>
    <phoneticPr fontId="5" type="noConversion"/>
  </si>
  <si>
    <t>Peterson</t>
    <phoneticPr fontId="5" type="noConversion"/>
  </si>
  <si>
    <t>McIntosh &amp; Blankenburg</t>
    <phoneticPr fontId="5" type="noConversion"/>
  </si>
  <si>
    <t>Fr. April 1</t>
    <phoneticPr fontId="5" type="noConversion"/>
  </si>
  <si>
    <t>Nitzan &amp; Henderson Jr. Recital</t>
    <phoneticPr fontId="5" type="noConversion"/>
  </si>
  <si>
    <t>Sun. April 3</t>
    <phoneticPr fontId="5" type="noConversion"/>
  </si>
  <si>
    <t>Humphrey Sr. Recital</t>
    <phoneticPr fontId="5" type="noConversion"/>
  </si>
  <si>
    <t>LA Opera Young Artists</t>
    <phoneticPr fontId="5" type="noConversion"/>
  </si>
  <si>
    <t>Organ - Peterson</t>
    <phoneticPr fontId="5" type="noConversion"/>
  </si>
  <si>
    <t xml:space="preserve">Ognibene &amp; </t>
    <phoneticPr fontId="5" type="noConversion"/>
  </si>
  <si>
    <t>late org &amp; lightly publicized @ 7pm</t>
    <phoneticPr fontId="5" type="noConversion"/>
  </si>
  <si>
    <t>Senior - Kim</t>
    <phoneticPr fontId="5" type="noConversion"/>
  </si>
  <si>
    <t>Sat. Oct. 30</t>
    <phoneticPr fontId="5" type="noConversion"/>
  </si>
  <si>
    <t>Hogle Brown, Graff, Kirchner</t>
    <phoneticPr fontId="5" type="noConversion"/>
  </si>
  <si>
    <t>Sun. Oct 31</t>
    <phoneticPr fontId="5" type="noConversion"/>
  </si>
  <si>
    <t>Beck, Lee, Kohn</t>
    <phoneticPr fontId="5" type="noConversion"/>
  </si>
  <si>
    <t>Ap. 5</t>
  </si>
  <si>
    <t>Fri. April 22</t>
    <phoneticPr fontId="5" type="noConversion"/>
  </si>
  <si>
    <t>Cello, Piano &amp; Marimba</t>
    <phoneticPr fontId="5" type="noConversion"/>
  </si>
  <si>
    <t>Sun. Nov. 7</t>
    <phoneticPr fontId="5" type="noConversion"/>
  </si>
  <si>
    <t>Afro-Cuban Ensemble</t>
  </si>
  <si>
    <t>Ap. 4</t>
  </si>
  <si>
    <t>Ap. 27</t>
  </si>
  <si>
    <t>Ap. 30</t>
  </si>
  <si>
    <t>Ap. 9</t>
    <phoneticPr fontId="5" type="noConversion"/>
  </si>
  <si>
    <t>Los Pleneros de la 21</t>
    <phoneticPr fontId="5" type="noConversion"/>
  </si>
  <si>
    <t>approx. count</t>
    <phoneticPr fontId="5" type="noConversion"/>
  </si>
  <si>
    <t>May. 10</t>
  </si>
  <si>
    <t>Minofest:</t>
  </si>
  <si>
    <t>May. 15</t>
  </si>
  <si>
    <t>Ph iBeta Kappa Installation</t>
  </si>
  <si>
    <t>Commencement Event</t>
  </si>
  <si>
    <t>Sept. 20</t>
  </si>
  <si>
    <t>Glee sings / Alumni Weekend</t>
  </si>
  <si>
    <t>Alumni Weekend</t>
  </si>
  <si>
    <t>Date</t>
  </si>
  <si>
    <t>Event</t>
  </si>
  <si>
    <t>Count</t>
  </si>
  <si>
    <t>Kenny Endo Lect/Demo</t>
  </si>
  <si>
    <t>Nov. 8</t>
  </si>
  <si>
    <t>Sanders &amp; Friends</t>
  </si>
  <si>
    <t>Nov. 13</t>
  </si>
  <si>
    <t>PC Band</t>
  </si>
  <si>
    <t>--</t>
    <phoneticPr fontId="5" type="noConversion"/>
  </si>
  <si>
    <t>not a part of our series</t>
    <phoneticPr fontId="5" type="noConversion"/>
  </si>
  <si>
    <t>Smith Campus Center</t>
    <phoneticPr fontId="5" type="noConversion"/>
  </si>
  <si>
    <t>Lyman Hall</t>
    <phoneticPr fontId="5" type="noConversion"/>
  </si>
  <si>
    <t>Little Bridges</t>
    <phoneticPr fontId="5" type="noConversion"/>
  </si>
  <si>
    <t>Dec. 6</t>
    <phoneticPr fontId="5" type="noConversion"/>
  </si>
  <si>
    <t>Little Bridges</t>
    <phoneticPr fontId="5" type="noConversion"/>
  </si>
  <si>
    <t>Garrison Theater</t>
    <phoneticPr fontId="5" type="noConversion"/>
  </si>
  <si>
    <t>Dec. 7</t>
    <phoneticPr fontId="5" type="noConversion"/>
  </si>
  <si>
    <t>Gamelan</t>
    <phoneticPr fontId="5" type="noConversion"/>
  </si>
  <si>
    <t>Dec. 8</t>
    <phoneticPr fontId="5" type="noConversion"/>
  </si>
  <si>
    <t>Student Recital</t>
    <phoneticPr fontId="5" type="noConversion"/>
  </si>
  <si>
    <t>Lyman Hall</t>
    <phoneticPr fontId="5" type="noConversion"/>
  </si>
  <si>
    <t>Dec. 9</t>
    <phoneticPr fontId="5" type="noConversion"/>
  </si>
  <si>
    <t>Celliola</t>
  </si>
  <si>
    <t>Pomona College Glee Club</t>
  </si>
  <si>
    <t>May. 2</t>
  </si>
  <si>
    <t>Sat. Feb. 12</t>
    <phoneticPr fontId="5" type="noConversion"/>
  </si>
  <si>
    <t>Chinyakara</t>
    <phoneticPr fontId="5" type="noConversion"/>
  </si>
  <si>
    <t>Sun. Feb. 13</t>
    <phoneticPr fontId="5" type="noConversion"/>
  </si>
  <si>
    <t>Schoenberg lecture</t>
    <phoneticPr fontId="5" type="noConversion"/>
  </si>
  <si>
    <t>Sat. Feb. 19</t>
    <phoneticPr fontId="5" type="noConversion"/>
  </si>
  <si>
    <t>Kohn + Kohn</t>
    <phoneticPr fontId="5" type="noConversion"/>
  </si>
  <si>
    <t>Sun. Feb. 20</t>
    <phoneticPr fontId="5" type="noConversion"/>
  </si>
  <si>
    <t>Choir</t>
    <phoneticPr fontId="5" type="noConversion"/>
  </si>
  <si>
    <t>Ussachevsky</t>
    <phoneticPr fontId="5" type="noConversion"/>
  </si>
  <si>
    <t>Lyman Hall</t>
    <phoneticPr fontId="5" type="noConversion"/>
  </si>
  <si>
    <t>Little Bridges</t>
    <phoneticPr fontId="5" type="noConversion"/>
  </si>
  <si>
    <t>Dec. 5</t>
    <phoneticPr fontId="5" type="noConversion"/>
  </si>
  <si>
    <t>Orchestra</t>
    <phoneticPr fontId="5" type="noConversion"/>
  </si>
  <si>
    <t>Garrison Theater</t>
    <phoneticPr fontId="5" type="noConversion"/>
  </si>
  <si>
    <t>Tues. May 3</t>
    <phoneticPr fontId="5" type="noConversion"/>
  </si>
  <si>
    <t>Wed. May 4</t>
    <phoneticPr fontId="5" type="noConversion"/>
  </si>
  <si>
    <t>Sat. April 23</t>
    <phoneticPr fontId="5" type="noConversion"/>
  </si>
  <si>
    <t>??</t>
    <phoneticPr fontId="5" type="noConversion"/>
  </si>
  <si>
    <t>Cancelled</t>
    <phoneticPr fontId="5" type="noConversion"/>
  </si>
  <si>
    <t>Ussachevsky - Sat Lecture</t>
    <phoneticPr fontId="5" type="noConversion"/>
  </si>
  <si>
    <t>Blankenburg/Formalist Stg Qtet</t>
    <phoneticPr fontId="5" type="noConversion"/>
  </si>
  <si>
    <t>Academy Awards</t>
    <phoneticPr fontId="5" type="noConversion"/>
  </si>
  <si>
    <t>Sat. April 2</t>
    <phoneticPr fontId="5" type="noConversion"/>
  </si>
  <si>
    <t>Fri. April 8</t>
    <phoneticPr fontId="5" type="noConversion"/>
  </si>
  <si>
    <t>Fri. April 15</t>
    <phoneticPr fontId="5" type="noConversion"/>
  </si>
  <si>
    <t>Mon. April 25</t>
    <phoneticPr fontId="5" type="noConversion"/>
  </si>
  <si>
    <t>Sun Sept 19</t>
    <phoneticPr fontId="5" type="noConversion"/>
  </si>
  <si>
    <t>Celliola</t>
    <phoneticPr fontId="5" type="noConversion"/>
  </si>
  <si>
    <t>ran out of programs (200 0rdered)</t>
    <phoneticPr fontId="5" type="noConversion"/>
  </si>
  <si>
    <t>Little Bridges</t>
    <phoneticPr fontId="5" type="noConversion"/>
  </si>
  <si>
    <t>Cello Ensemble</t>
    <phoneticPr fontId="5" type="noConversion"/>
  </si>
  <si>
    <t>ran out of programs!`</t>
    <phoneticPr fontId="5" type="noConversion"/>
  </si>
  <si>
    <t>Tues. April 26</t>
    <phoneticPr fontId="5" type="noConversion"/>
  </si>
  <si>
    <t>Wed. April 27</t>
    <phoneticPr fontId="5" type="noConversion"/>
  </si>
  <si>
    <t>Mbira Ensemble</t>
    <phoneticPr fontId="5" type="noConversion"/>
  </si>
  <si>
    <t>Thurs. April 28</t>
    <phoneticPr fontId="5" type="noConversion"/>
  </si>
  <si>
    <t>Sat. April 30</t>
    <phoneticPr fontId="5" type="noConversion"/>
  </si>
  <si>
    <t>Sun. May 1</t>
    <phoneticPr fontId="5" type="noConversion"/>
  </si>
  <si>
    <t>Mon. May 2</t>
    <phoneticPr fontId="5" type="noConversion"/>
  </si>
  <si>
    <t>Nguyen / Prunty Sr. Recital</t>
    <phoneticPr fontId="5" type="noConversion"/>
  </si>
  <si>
    <t>Day/Date</t>
    <phoneticPr fontId="5" type="noConversion"/>
  </si>
  <si>
    <t>Time</t>
    <phoneticPr fontId="5" type="noConversion"/>
  </si>
  <si>
    <t>Little Bridges</t>
    <phoneticPr fontId="5" type="noConversion"/>
  </si>
  <si>
    <t>Sun. Oct 3</t>
    <phoneticPr fontId="5" type="noConversion"/>
  </si>
  <si>
    <t>time confusion w/8pm noted CUC cal</t>
    <phoneticPr fontId="5" type="noConversion"/>
  </si>
  <si>
    <t xml:space="preserve">Tues. Oct. 12 </t>
    <phoneticPr fontId="5" type="noConversion"/>
  </si>
  <si>
    <t>ran out of programs (100 0rdered)</t>
    <phoneticPr fontId="5" type="noConversion"/>
  </si>
  <si>
    <t>Lyman Hall</t>
    <phoneticPr fontId="5" type="noConversion"/>
  </si>
  <si>
    <t>Fri. Nov. 12</t>
    <phoneticPr fontId="5" type="noConversion"/>
  </si>
  <si>
    <t>Sat. Dec. 4</t>
    <phoneticPr fontId="5" type="noConversion"/>
  </si>
  <si>
    <t>rainy - est. count</t>
    <phoneticPr fontId="5" type="noConversion"/>
  </si>
  <si>
    <t>Çudamani L/Demo</t>
    <phoneticPr fontId="5" type="noConversion"/>
  </si>
  <si>
    <t>Fri. Nov. 5</t>
    <phoneticPr fontId="5" type="noConversion"/>
  </si>
  <si>
    <t>Bacon Jr. Recital</t>
    <phoneticPr fontId="5" type="noConversion"/>
  </si>
  <si>
    <t>cancelled</t>
  </si>
  <si>
    <t>Garrison Theatre</t>
  </si>
  <si>
    <t>Feb. 7</t>
  </si>
  <si>
    <t>Lee Recital</t>
  </si>
  <si>
    <t>Feb. 14</t>
  </si>
  <si>
    <t>Bradford and Mo'Tet</t>
  </si>
  <si>
    <t>Feb. 18</t>
  </si>
  <si>
    <t>Parmentier</t>
    <phoneticPr fontId="5" type="noConversion"/>
  </si>
  <si>
    <t>Los Pleneros</t>
    <phoneticPr fontId="5" type="noConversion"/>
  </si>
  <si>
    <t>Nov. 15</t>
  </si>
  <si>
    <t>Wright &amp; Moss</t>
  </si>
  <si>
    <t>rainy</t>
    <phoneticPr fontId="5" type="noConversion"/>
  </si>
  <si>
    <t>Nov. 23</t>
  </si>
  <si>
    <t>Dec. 1</t>
  </si>
  <si>
    <t>Pomona College Afro-Cuban Ensemble</t>
  </si>
  <si>
    <t>Dec. 5</t>
  </si>
  <si>
    <t>Oct. 10</t>
  </si>
  <si>
    <t>Orchestra</t>
  </si>
  <si>
    <t>Ap. 3</t>
  </si>
  <si>
    <t>Ap. 11</t>
  </si>
  <si>
    <t>Ap. 12</t>
  </si>
  <si>
    <t>Sr. Recital / Nuchi</t>
  </si>
  <si>
    <t>Ap. 18</t>
  </si>
  <si>
    <t>Sr. Recital / Randall-Myers</t>
  </si>
  <si>
    <t>Sr. Recital / Silva</t>
  </si>
  <si>
    <t>May. 5</t>
  </si>
  <si>
    <t>May. 6</t>
  </si>
  <si>
    <t>A. Troitsky Lecture</t>
  </si>
  <si>
    <t>Oct. 29</t>
  </si>
  <si>
    <t>Senior Recital / Dietterich</t>
  </si>
  <si>
    <t>Sr. Recital / G. Chen</t>
  </si>
  <si>
    <t>Sr. Recital / Heath</t>
  </si>
  <si>
    <t>rainy</t>
  </si>
  <si>
    <t>Family Weekend</t>
    <phoneticPr fontId="5" type="noConversion"/>
  </si>
  <si>
    <t>May. 3</t>
  </si>
  <si>
    <t>May. 4</t>
  </si>
  <si>
    <t>Feb. 25</t>
  </si>
  <si>
    <t>Mar. 7</t>
  </si>
  <si>
    <t>Cornucopia</t>
    <phoneticPr fontId="5" type="noConversion"/>
  </si>
  <si>
    <t>Sat. Oct 2</t>
    <phoneticPr fontId="5" type="noConversion"/>
  </si>
  <si>
    <t>G. Lee</t>
    <phoneticPr fontId="5" type="noConversion"/>
  </si>
  <si>
    <t>Lebow &amp; Blankenburg</t>
    <phoneticPr fontId="5" type="noConversion"/>
  </si>
  <si>
    <t>Sun Sept 11</t>
  </si>
  <si>
    <t>Fri. Sept. 16</t>
  </si>
  <si>
    <t>Hampson</t>
  </si>
  <si>
    <t xml:space="preserve">198? </t>
  </si>
  <si>
    <t>Sun. Sept. 25</t>
  </si>
  <si>
    <t>Peterson Lec/Rec</t>
  </si>
  <si>
    <t>Fri. Sept. 30</t>
  </si>
  <si>
    <t>Pelev &amp; Lebow</t>
  </si>
  <si>
    <t>Sat. Oct. 1</t>
  </si>
  <si>
    <t>Lee - solo rec.</t>
  </si>
  <si>
    <t>124</t>
  </si>
  <si>
    <t>Gardens had their annual memorial event at the same time</t>
  </si>
  <si>
    <t>180</t>
  </si>
  <si>
    <t>181</t>
  </si>
  <si>
    <t>Sat. Oct. 8</t>
  </si>
  <si>
    <t>Sun. Oct. 9</t>
  </si>
  <si>
    <t>281</t>
  </si>
  <si>
    <t>275</t>
  </si>
  <si>
    <t>Yom Kippur weekend</t>
  </si>
  <si>
    <t>Wed. Nov. 2</t>
  </si>
  <si>
    <t>Sat. Nov. 5</t>
  </si>
  <si>
    <t>Cornucopia</t>
  </si>
  <si>
    <t>Sun. Nov. 6</t>
  </si>
  <si>
    <t>Hammers &amp; Sticks  Piano &amp; Percussion</t>
  </si>
  <si>
    <t>163</t>
  </si>
  <si>
    <t>146</t>
  </si>
  <si>
    <t>Cold &amp; rainy</t>
  </si>
  <si>
    <t>Sun. Nov. 13</t>
  </si>
  <si>
    <t>Chirgilchin</t>
  </si>
  <si>
    <t>c. 65</t>
  </si>
  <si>
    <t>525</t>
  </si>
  <si>
    <t>nice</t>
  </si>
  <si>
    <t>Fri. Nov. 18</t>
  </si>
  <si>
    <t>Band</t>
  </si>
  <si>
    <t>Sun. Nov. 20</t>
  </si>
  <si>
    <t>Sat. Nov. 19</t>
  </si>
  <si>
    <t>Nitzan Sr. Recital</t>
  </si>
  <si>
    <t>125</t>
  </si>
  <si>
    <t>149</t>
  </si>
  <si>
    <t>Mon. Nov, 28</t>
  </si>
  <si>
    <t>Mbria</t>
  </si>
  <si>
    <t>Garrison Theater</t>
  </si>
  <si>
    <t>Fri. Dec. 2</t>
  </si>
  <si>
    <t>PCC</t>
  </si>
  <si>
    <t>rainy afternoon</t>
  </si>
  <si>
    <t>PC Orchestra</t>
  </si>
  <si>
    <t>Sat. Dec. 3</t>
  </si>
  <si>
    <t>Sun. Dec. 4</t>
  </si>
  <si>
    <t>Mon. Dec. 5</t>
  </si>
  <si>
    <t>PC Gamelan</t>
  </si>
  <si>
    <t>c. 200</t>
  </si>
  <si>
    <t>304</t>
  </si>
  <si>
    <t>294</t>
  </si>
  <si>
    <t>Tues. Dec. 6</t>
  </si>
  <si>
    <t>Wed. Dec. 7</t>
  </si>
  <si>
    <t>68</t>
  </si>
  <si>
    <t>147</t>
  </si>
  <si>
    <t>Valentines Day / family wkend</t>
  </si>
  <si>
    <t>Family Wkend</t>
  </si>
  <si>
    <t>messiah</t>
  </si>
  <si>
    <t>Fri. Feb. 3</t>
  </si>
  <si>
    <t>Sat. Feb. 4</t>
  </si>
  <si>
    <t>107</t>
  </si>
  <si>
    <t>Tues. Feb. 7</t>
  </si>
  <si>
    <t>Jazz</t>
  </si>
  <si>
    <t>Sun. Feb. 12</t>
  </si>
  <si>
    <t>Christoph Bull</t>
  </si>
  <si>
    <t>201</t>
  </si>
  <si>
    <t>Sat. Feb. 18</t>
  </si>
  <si>
    <t>MCS &amp; PCC</t>
  </si>
  <si>
    <t>Sun. Feb. 26</t>
  </si>
  <si>
    <t>Trans-Atlantic</t>
  </si>
  <si>
    <t>Wed. Feb. 22</t>
  </si>
  <si>
    <t>c. 35</t>
  </si>
  <si>
    <t>220</t>
  </si>
  <si>
    <t>Fri. March 2</t>
  </si>
  <si>
    <t>Orchestra &amp; Sheu</t>
  </si>
  <si>
    <t>Sat. March 3</t>
  </si>
  <si>
    <t>Messiaen &amp; Crockett (lee)</t>
  </si>
  <si>
    <t>Sun. March 4</t>
  </si>
  <si>
    <t>Wed. March 7</t>
  </si>
  <si>
    <t>The Virginia Glee Club</t>
  </si>
  <si>
    <t>Sat. March 24</t>
  </si>
  <si>
    <t>Annabell Guaita</t>
  </si>
  <si>
    <t>Sun. March 25</t>
  </si>
  <si>
    <t>Wed. March 28</t>
  </si>
  <si>
    <t>Fri. March 30</t>
  </si>
  <si>
    <t>C. Bacon Sr. Recital</t>
  </si>
  <si>
    <t>Sat. March 31</t>
  </si>
  <si>
    <t>Gwendolyn Lytle</t>
  </si>
  <si>
    <t>250</t>
  </si>
  <si>
    <t>141</t>
  </si>
  <si>
    <t>296</t>
  </si>
  <si>
    <t>Wed. March 21</t>
  </si>
  <si>
    <t xml:space="preserve">Cusito </t>
  </si>
  <si>
    <t>56</t>
  </si>
  <si>
    <t>143</t>
  </si>
  <si>
    <t>119</t>
  </si>
  <si>
    <t>144</t>
  </si>
  <si>
    <t>Rainy</t>
  </si>
  <si>
    <t>20th century music</t>
  </si>
  <si>
    <t>last minute - afro-cuban drummer</t>
  </si>
  <si>
    <t>Fri. April 6</t>
  </si>
  <si>
    <t>B. Nitzan Sr. Recital</t>
  </si>
  <si>
    <t>78</t>
  </si>
  <si>
    <t>Sat. April 7</t>
  </si>
  <si>
    <t>R. Sheu, Soph Recital</t>
  </si>
  <si>
    <t>58</t>
  </si>
  <si>
    <t>Sun. April 8</t>
  </si>
  <si>
    <t>S. Jespersen, Sr. Recital</t>
  </si>
  <si>
    <t>Fri. April 13</t>
  </si>
  <si>
    <t>G. Friedman Recital</t>
  </si>
  <si>
    <t>Sat. April 14</t>
  </si>
  <si>
    <t>C. Henderson, Sr. Recital</t>
  </si>
  <si>
    <t>64</t>
  </si>
  <si>
    <t>Sun. April 1</t>
  </si>
  <si>
    <t>Musekiwa Chingodza</t>
  </si>
  <si>
    <t>71</t>
  </si>
  <si>
    <t>mbira artist</t>
  </si>
  <si>
    <t>43</t>
  </si>
  <si>
    <t>63</t>
  </si>
  <si>
    <t>57</t>
  </si>
  <si>
    <t>Easter Sunday</t>
  </si>
  <si>
    <t>Fri. April 20</t>
  </si>
  <si>
    <t>Choir &amp; Orch</t>
  </si>
  <si>
    <t>267</t>
  </si>
  <si>
    <t>Sun. April 22</t>
  </si>
  <si>
    <t>291</t>
  </si>
  <si>
    <t>w/post-concert reception in garden</t>
  </si>
  <si>
    <t>Thurs. April 26</t>
  </si>
  <si>
    <t>Glee Club</t>
  </si>
  <si>
    <t>Sat. April 28</t>
  </si>
  <si>
    <t>Sun. April 29</t>
  </si>
  <si>
    <t>Memorial Conv</t>
  </si>
  <si>
    <t>Mon. April 30</t>
  </si>
  <si>
    <t>Gamelan</t>
  </si>
  <si>
    <t>Mon. April 23</t>
  </si>
  <si>
    <t>Mbira Ens</t>
  </si>
  <si>
    <t>Fri. April 27</t>
  </si>
  <si>
    <t>Jazz Tribute</t>
  </si>
  <si>
    <t>Tues. May 1</t>
  </si>
  <si>
    <t>Wed. May 2</t>
  </si>
  <si>
    <t>Sun. May 6</t>
  </si>
  <si>
    <t>MicroFest</t>
  </si>
  <si>
    <t>Fri. May 11</t>
  </si>
  <si>
    <t>Baccalaureate</t>
  </si>
  <si>
    <t>165</t>
  </si>
  <si>
    <t>255</t>
  </si>
  <si>
    <t>427</t>
  </si>
  <si>
    <t>87</t>
  </si>
  <si>
    <t>91</t>
  </si>
  <si>
    <t>164</t>
  </si>
  <si>
    <t>66</t>
  </si>
  <si>
    <t>47</t>
  </si>
  <si>
    <t>138</t>
  </si>
  <si>
    <t>396</t>
  </si>
  <si>
    <t>Phi Beta Kappa</t>
  </si>
  <si>
    <t>203</t>
  </si>
  <si>
    <t>390</t>
  </si>
  <si>
    <t>Sat. May 12</t>
  </si>
  <si>
    <t>PCGC Concert</t>
  </si>
  <si>
    <t>c175</t>
  </si>
  <si>
    <t>Arts Event for Grads, Family &amp; Campus</t>
  </si>
  <si>
    <t>HOT</t>
  </si>
  <si>
    <t>Lee - Keyboard Kal</t>
  </si>
  <si>
    <t>looked like better attend. Numbers</t>
  </si>
  <si>
    <t>Kleinecke-Boyer</t>
  </si>
  <si>
    <t>187-plus</t>
  </si>
  <si>
    <t>unable to get good opening count when doors opened</t>
  </si>
  <si>
    <t>Wright/Moss</t>
  </si>
  <si>
    <t>Calambache</t>
  </si>
  <si>
    <t>PCO</t>
  </si>
  <si>
    <t>Cage-O-Rama</t>
  </si>
  <si>
    <t>Stud. Recital</t>
  </si>
  <si>
    <t>ran out of programs</t>
  </si>
  <si>
    <t>Benjamin Memorial</t>
  </si>
  <si>
    <t>Harwood Halloween/Village Vent</t>
  </si>
  <si>
    <t>Memorial</t>
  </si>
  <si>
    <t>Kallay &amp; Inoo</t>
  </si>
  <si>
    <t>Third Coast Perc.</t>
  </si>
  <si>
    <t>Katie Bent</t>
  </si>
  <si>
    <t>Childish Gambino @ Bridged Aud</t>
  </si>
  <si>
    <t>Choir</t>
  </si>
  <si>
    <t>Afro-Cuban</t>
  </si>
  <si>
    <t>Garrison</t>
  </si>
  <si>
    <t>270 - looked like 350</t>
  </si>
  <si>
    <t>unknown</t>
  </si>
  <si>
    <t>Looked like a good audience</t>
  </si>
  <si>
    <t>Peterson</t>
  </si>
  <si>
    <t>Cancelled</t>
  </si>
  <si>
    <t>Ussachevsky L/D</t>
  </si>
  <si>
    <t>Pelev</t>
  </si>
  <si>
    <t>rainy and cold</t>
  </si>
  <si>
    <t>Eclipse Quartet</t>
  </si>
  <si>
    <t>Bluegrass</t>
  </si>
  <si>
    <t>Kohn Music</t>
  </si>
  <si>
    <t>Evarkiou-Kaku Jr.</t>
  </si>
  <si>
    <t>Lee Quartet</t>
  </si>
  <si>
    <t>parents weekend</t>
  </si>
  <si>
    <t>PC Talent show</t>
  </si>
  <si>
    <t>(not a music dept. event)</t>
  </si>
  <si>
    <t>Latino/Chic. Conv</t>
  </si>
  <si>
    <t>204-plus</t>
  </si>
  <si>
    <t>Eric said looked bigger</t>
  </si>
  <si>
    <t>Appleton, piano</t>
  </si>
  <si>
    <t>Bent &amp; De Winkle</t>
  </si>
  <si>
    <t>Bradford and the Mo'Tet</t>
  </si>
  <si>
    <t>Sheu/Chang</t>
  </si>
  <si>
    <t>Jr. recital</t>
  </si>
  <si>
    <t>CalArts West African</t>
  </si>
  <si>
    <t>Lytle &amp; Friends</t>
  </si>
  <si>
    <t>Student/Music of Appleton</t>
  </si>
  <si>
    <t>Hannigan</t>
  </si>
  <si>
    <t>Lebow &amp; Blankenburg</t>
  </si>
  <si>
    <t>No-Chella concert @ SMC</t>
  </si>
  <si>
    <t>Mentor Recital</t>
  </si>
  <si>
    <t>other event</t>
  </si>
  <si>
    <t>Student, Generic Rec.</t>
  </si>
  <si>
    <t>Beeth Trio</t>
  </si>
  <si>
    <t>Orch/Choir</t>
  </si>
  <si>
    <t>275+</t>
  </si>
  <si>
    <t>bad parking</t>
  </si>
  <si>
    <t>Afro-Cuban Drumming</t>
  </si>
  <si>
    <t>??</t>
  </si>
  <si>
    <t>Sun. 9-15</t>
  </si>
  <si>
    <t>3pm</t>
  </si>
  <si>
    <t>Sat. 9-21</t>
  </si>
  <si>
    <t>8pm</t>
  </si>
  <si>
    <t>Lee - solo</t>
  </si>
  <si>
    <t>Sun. 9-29</t>
  </si>
  <si>
    <t>D. Cleveland, guest organist</t>
  </si>
  <si>
    <t>(40@reception)</t>
  </si>
  <si>
    <t>Sat. Oct. 5</t>
  </si>
  <si>
    <t>Garth Newel Quartet</t>
  </si>
  <si>
    <t>c. 45@reception</t>
  </si>
  <si>
    <t>Sat. Oct. 12</t>
  </si>
  <si>
    <t>Orchestra w/G. Lytle</t>
  </si>
  <si>
    <t>Sun. Oct. 13</t>
  </si>
  <si>
    <t>Fri. Oct. 25</t>
  </si>
  <si>
    <t>Baroque Masters Kim &amp; Lee</t>
  </si>
  <si>
    <t>c. 52 @ reception</t>
  </si>
  <si>
    <t>Sun. Oct. 27</t>
  </si>
  <si>
    <t>212 + PCC 65</t>
  </si>
  <si>
    <t>c. 100 @ reception</t>
  </si>
  <si>
    <t>Wed. Oct 30</t>
  </si>
  <si>
    <t>8:15pm</t>
  </si>
  <si>
    <t>Sat. Nov. 2</t>
  </si>
  <si>
    <t>Middle East Ensemble</t>
  </si>
  <si>
    <t>Fri. Nov. 22</t>
  </si>
  <si>
    <t>Sat. Nov. 23</t>
  </si>
  <si>
    <t>Jazz Ens</t>
  </si>
  <si>
    <t>Sun. Nov. 27</t>
  </si>
  <si>
    <t>Mon. Dec. 2</t>
  </si>
  <si>
    <t>Wed. Dec. 4</t>
  </si>
  <si>
    <t>Sea Chanty</t>
  </si>
  <si>
    <t>Fri. Dec. 6</t>
  </si>
  <si>
    <t>Sun. Dec. 8</t>
  </si>
  <si>
    <t>Mon. Dec. 9</t>
  </si>
  <si>
    <t>Tues. Dec. 10</t>
  </si>
  <si>
    <t>7pm</t>
  </si>
  <si>
    <t>Wed. Dec. 11</t>
  </si>
  <si>
    <t>* Orchestra performed with the Inland Pacific Ballet in 3 performances of "The Nutcracker" at Bridges Auditorium (Dec. 7 &amp; 8)</t>
  </si>
  <si>
    <t>c. 100</t>
  </si>
  <si>
    <t>Fri. Jan 31</t>
  </si>
  <si>
    <t>van Zyl - guest pianist</t>
  </si>
  <si>
    <t>Sat. Feb. 1</t>
  </si>
  <si>
    <t>Chatham Baroque</t>
  </si>
  <si>
    <t>Sun. Feb. 2</t>
  </si>
  <si>
    <t>Thornblade &amp; Ray</t>
  </si>
  <si>
    <t>Sat. Feb. 8</t>
  </si>
  <si>
    <t>4pm</t>
  </si>
  <si>
    <t>Ussachevsky-lecture/demo</t>
  </si>
  <si>
    <t>Ussachevsky-concert</t>
  </si>
  <si>
    <t>Sun. Feb. 9</t>
  </si>
  <si>
    <t>Organist Alan Lewis</t>
  </si>
  <si>
    <t>Sat. Feb. 15</t>
  </si>
  <si>
    <t>Guitar Extravaganza</t>
  </si>
  <si>
    <t>looked bigger</t>
  </si>
  <si>
    <t>food good a recpt.</t>
  </si>
  <si>
    <t>extra reception food</t>
  </si>
  <si>
    <t>Fri. Feb. 28</t>
  </si>
  <si>
    <t>Orchestra - Concerto winner</t>
  </si>
  <si>
    <t>no reception</t>
  </si>
  <si>
    <t>Sat. Mar. 1</t>
  </si>
  <si>
    <t>Blankenburg/Cook</t>
  </si>
  <si>
    <t>Sun. Mar 2</t>
  </si>
  <si>
    <t>Wed. Mar 5</t>
  </si>
  <si>
    <t>Sat. Mar. 8</t>
  </si>
  <si>
    <t>Tues. Mar. 11</t>
  </si>
  <si>
    <t>4:30pm</t>
  </si>
  <si>
    <t>Roger Sheu, Sr. Recital</t>
  </si>
  <si>
    <t>Jazz Ensemble</t>
  </si>
  <si>
    <t>c. 45</t>
  </si>
  <si>
    <t>Sun. Mar. 30</t>
  </si>
  <si>
    <t>Copland - Seymour concert</t>
  </si>
  <si>
    <t>Wed. April 2</t>
  </si>
  <si>
    <t>Fri. April 4</t>
  </si>
  <si>
    <t>Appleton Sr. Recital</t>
  </si>
  <si>
    <t>Sat. April 5</t>
  </si>
  <si>
    <t>Chang Sr. Recital</t>
  </si>
  <si>
    <t>Sun. April 6</t>
  </si>
  <si>
    <t>2pm</t>
  </si>
  <si>
    <t>Monson Pre-concert lecture</t>
  </si>
  <si>
    <t>Performing the Sacred</t>
  </si>
  <si>
    <t>Food inhaled @ rec.</t>
  </si>
  <si>
    <t>Fri. April 18</t>
  </si>
  <si>
    <t>Choir/Orchestra - Berlioz Req.</t>
  </si>
  <si>
    <t>Sun. April 20</t>
  </si>
  <si>
    <t>Easter Sun.</t>
  </si>
  <si>
    <t>Good Fri</t>
  </si>
  <si>
    <t>Fri. April 25</t>
  </si>
  <si>
    <t>Evarkiou-Kaku Sr. Recital</t>
  </si>
  <si>
    <t>Sat. April 26</t>
  </si>
  <si>
    <t>Browne/Wayment-Steele Jr. Recital</t>
  </si>
  <si>
    <t>Sun. April 27</t>
  </si>
  <si>
    <t>Gwendolyn Lytle w/Rockwell, Blankenburg &amp; Cramer</t>
  </si>
  <si>
    <t>Mon. April 28</t>
  </si>
  <si>
    <t>Wed. April 30</t>
  </si>
  <si>
    <t>Sea Chanty Ens.</t>
  </si>
  <si>
    <t>Thurs. May 1</t>
  </si>
  <si>
    <t>Fri. May 2</t>
  </si>
  <si>
    <t>Sat. May 3</t>
  </si>
  <si>
    <t>1:30pm</t>
  </si>
  <si>
    <t>Sun. May 4</t>
  </si>
  <si>
    <t>Mon. May 5</t>
  </si>
  <si>
    <t>Tues. May 6</t>
  </si>
  <si>
    <t>Wed. May 7</t>
  </si>
  <si>
    <t>Dec. 14</t>
  </si>
  <si>
    <t>Memorial Service</t>
  </si>
  <si>
    <t>Tues. Feb. 4</t>
  </si>
  <si>
    <t>Convocation</t>
  </si>
  <si>
    <t>Day/Date</t>
  </si>
  <si>
    <t>Time</t>
  </si>
  <si>
    <t>Sun. Sept. 14</t>
  </si>
  <si>
    <t>Fri. Sept. 19</t>
  </si>
  <si>
    <t>LA Guitar Quartet</t>
  </si>
  <si>
    <t>KUSC promoted</t>
  </si>
  <si>
    <t>Seymour Concert</t>
  </si>
  <si>
    <t>Sat. Sept. 27</t>
  </si>
  <si>
    <t>Sun. Sept. 28</t>
  </si>
  <si>
    <t>Bew B'ak'tun</t>
  </si>
  <si>
    <t>Large reception attend</t>
  </si>
  <si>
    <t>Founders Day celebration 664</t>
  </si>
  <si>
    <t>Sat. Oct. 11</t>
  </si>
  <si>
    <t>Founders Day/Art Open</t>
  </si>
  <si>
    <t>Sun. Oct. 12</t>
  </si>
  <si>
    <t>Sat. Oct. 25</t>
  </si>
  <si>
    <t>Beethoven Cello Sonatas I</t>
  </si>
  <si>
    <t>Sun. Oct. 26</t>
  </si>
  <si>
    <t>Looking For Answers - T. Flaherty</t>
  </si>
  <si>
    <t>Wed. Oct. 29</t>
  </si>
  <si>
    <t>Sat. Nov. 1</t>
  </si>
  <si>
    <t>Beethoven Cello Sonatas 2</t>
  </si>
  <si>
    <t>Sun. Nov. 9</t>
  </si>
  <si>
    <t>Spring Thunder Chinese Ens</t>
  </si>
  <si>
    <t>ran out of reception food</t>
  </si>
  <si>
    <t>just about right amount of food</t>
  </si>
  <si>
    <t>Fri. Nov. 14</t>
  </si>
  <si>
    <t>Sat. Nov. 15</t>
  </si>
  <si>
    <t>J. Austenfeld, Sr Recital</t>
  </si>
  <si>
    <t>Wright / Moss</t>
  </si>
  <si>
    <t>Fri. Nov. 21</t>
  </si>
  <si>
    <t>Sat. Nov. 22</t>
  </si>
  <si>
    <t>Piffaro</t>
  </si>
  <si>
    <t>Sun. Nov. 23</t>
  </si>
  <si>
    <t>Mon. Dec. 1</t>
  </si>
  <si>
    <t>Fri. Dec. 5</t>
  </si>
  <si>
    <t>Sat. Dec. 6</t>
  </si>
  <si>
    <t>no count</t>
  </si>
  <si>
    <t>Sun. Dec. 7</t>
  </si>
  <si>
    <t>Mon. Dec. 8</t>
  </si>
  <si>
    <t>Tues. Dec. 9</t>
  </si>
  <si>
    <t>Wed. Dec. 10</t>
  </si>
  <si>
    <t>Fri. Feb. 6</t>
  </si>
  <si>
    <t>Ussachevsky Concert</t>
  </si>
  <si>
    <t>Sat. Feb. 7</t>
  </si>
  <si>
    <t>Fri. Feb. 13</t>
  </si>
  <si>
    <t>Family Weekend</t>
  </si>
  <si>
    <t>Bridges Hall of Music</t>
  </si>
  <si>
    <t>Sat. Feb. 14</t>
  </si>
  <si>
    <t>Genevieve Lee Recital</t>
  </si>
  <si>
    <t>Pomonapalooza</t>
  </si>
  <si>
    <t>Sun. Feb. 15</t>
  </si>
  <si>
    <t>Pomona Composers</t>
  </si>
  <si>
    <t>Sun. Feb. 22</t>
  </si>
  <si>
    <t>Oscar Sunday</t>
  </si>
  <si>
    <t>Fri. Feb. 20</t>
  </si>
  <si>
    <t>Burke Sr. Recital</t>
  </si>
  <si>
    <t>Wed. Feb. 25</t>
  </si>
  <si>
    <t>very few performers</t>
  </si>
  <si>
    <t>Fri. Mar. 6</t>
  </si>
  <si>
    <t>Concerto Comp.</t>
  </si>
  <si>
    <t>Sun. Mar. 8</t>
  </si>
  <si>
    <t>Tues. Mar. 10</t>
  </si>
  <si>
    <t>Fri. Mar. 27</t>
  </si>
  <si>
    <t>Zhang Sr. Recital</t>
  </si>
  <si>
    <t>Sat. Mar. 28</t>
  </si>
  <si>
    <t>Gamelan Sekar Jaya</t>
  </si>
  <si>
    <t>Carolyn Lyon Garden</t>
  </si>
  <si>
    <t>Wed. April 1</t>
  </si>
  <si>
    <t>Sat. April 4</t>
  </si>
  <si>
    <t>White Sr. Recital</t>
  </si>
  <si>
    <t>Fri. April 10</t>
  </si>
  <si>
    <t>Chong Jr. Recital</t>
  </si>
  <si>
    <t>Sat. April 11</t>
  </si>
  <si>
    <t>Cole/Wayment-Steele Jr/Sr recital</t>
  </si>
  <si>
    <t>Sun. April 12</t>
  </si>
  <si>
    <t>Peterson Recital</t>
  </si>
  <si>
    <t>Mon. April 13</t>
  </si>
  <si>
    <t>9am</t>
  </si>
  <si>
    <t>Admissions Day</t>
  </si>
  <si>
    <t>Fri. April 17</t>
  </si>
  <si>
    <t>Choir/Orchestra Concert</t>
  </si>
  <si>
    <t>Sat. April 18</t>
  </si>
  <si>
    <t>Mentors Recital</t>
  </si>
  <si>
    <t>Sun. April 19</t>
  </si>
  <si>
    <t>Mon. April 20</t>
  </si>
  <si>
    <t>Tues. April 21</t>
  </si>
  <si>
    <t>Akropolist MC</t>
  </si>
  <si>
    <t>Fri. April 24</t>
  </si>
  <si>
    <t>Pelev-Horn Trios</t>
  </si>
  <si>
    <t>Sat. April 25</t>
  </si>
  <si>
    <t>Trios Lykos</t>
  </si>
  <si>
    <t>Sun. April 26</t>
  </si>
  <si>
    <t>Guam/R. Luo Jr. Recital</t>
  </si>
  <si>
    <t>Thurs. April 30</t>
  </si>
  <si>
    <t>Glee Club Concert</t>
  </si>
  <si>
    <t>Fri. May 1</t>
  </si>
  <si>
    <t xml:space="preserve">Sat. May 2 </t>
  </si>
  <si>
    <t>11am</t>
  </si>
  <si>
    <t>Band Concert</t>
  </si>
  <si>
    <t>Sun. May 3</t>
  </si>
  <si>
    <t>9:30am</t>
  </si>
  <si>
    <t>Alumni Memorial Service</t>
  </si>
  <si>
    <t>Mon. May 4</t>
  </si>
  <si>
    <t>Gamelan Concert</t>
  </si>
  <si>
    <t>Mon. April 27</t>
  </si>
  <si>
    <t>Tues. May 5</t>
  </si>
  <si>
    <t>Wed. May 6</t>
  </si>
  <si>
    <t>Sun. Sept. 13</t>
  </si>
  <si>
    <t>hot</t>
  </si>
  <si>
    <t>Sat. Sept. 26</t>
  </si>
  <si>
    <t>Music of RC Seeger</t>
  </si>
  <si>
    <t>Sun. Sept. 27</t>
  </si>
  <si>
    <t>Chamber Music Extrava</t>
  </si>
  <si>
    <t>Sat. Oct. 2</t>
  </si>
  <si>
    <t>Sun. Oct. 4</t>
  </si>
  <si>
    <t>Sat. Oct. 10</t>
  </si>
  <si>
    <t>Chalifour</t>
  </si>
  <si>
    <t>Sun. Nov. 1</t>
  </si>
  <si>
    <t>Sun. Nov. 8</t>
  </si>
  <si>
    <t>Trio Fugu</t>
  </si>
  <si>
    <t>Perfect reception food amount</t>
  </si>
  <si>
    <t>Reception Notes</t>
  </si>
  <si>
    <t>Beethoven Sonatas/Lee</t>
  </si>
  <si>
    <t>Fri. Nov. 13</t>
  </si>
  <si>
    <t>Sat. Nov. 14</t>
  </si>
  <si>
    <t>KRONOS</t>
  </si>
  <si>
    <t>Sun. Nov. 15</t>
  </si>
  <si>
    <t>Fri. Nov. 20</t>
  </si>
  <si>
    <t>LA Chamber/Bach</t>
  </si>
  <si>
    <t>Sat. Nov. 21</t>
  </si>
  <si>
    <t>Sun. Nov. 22</t>
  </si>
  <si>
    <t>Tues. Nov. 24</t>
  </si>
  <si>
    <t>Mon. Nov. 30</t>
  </si>
  <si>
    <t>Fri. Dec. 4</t>
  </si>
  <si>
    <t>Sun. Dec. 6</t>
  </si>
  <si>
    <t>Mon. Dec. 7</t>
  </si>
  <si>
    <t>Tues. Dec. 8</t>
  </si>
  <si>
    <t>Wed. Dec. 9</t>
  </si>
  <si>
    <t>Fri. Nov. 6</t>
  </si>
  <si>
    <t>Senior Recital - Ryan Luo</t>
  </si>
  <si>
    <t>[attack on Paris]</t>
  </si>
  <si>
    <t>420/3-vip &amp; 417-ga</t>
  </si>
  <si>
    <t>has 79 tix avail. &amp; unused</t>
  </si>
  <si>
    <t>Fri. Jan 29</t>
  </si>
  <si>
    <t>Fri. Feb. 5</t>
  </si>
  <si>
    <t>Sat. Feb. 6</t>
  </si>
  <si>
    <t>Fri. Feb. 12</t>
  </si>
  <si>
    <t>Alumnipalooza</t>
  </si>
  <si>
    <t>Sat. Feb. 13</t>
  </si>
  <si>
    <t>Plucked String</t>
  </si>
  <si>
    <t>Sat. Feb. 20</t>
  </si>
  <si>
    <t>LA Harpette</t>
  </si>
  <si>
    <t>Sat. Feb. 27</t>
  </si>
  <si>
    <t>Alex Woods, Soph Recital</t>
  </si>
  <si>
    <t>Wed. Mar. 2</t>
  </si>
  <si>
    <t>Fri. Feb. 26</t>
  </si>
  <si>
    <t>c. 50</t>
  </si>
  <si>
    <t>Sun Feb. 28</t>
  </si>
  <si>
    <t>Fri. Mar. 4</t>
  </si>
  <si>
    <t>8 p.m.</t>
  </si>
  <si>
    <t>Alex Chong Sr. Recital</t>
  </si>
  <si>
    <t>Sun. Mar. 6</t>
  </si>
  <si>
    <t>Lytle and Lee Recital</t>
  </si>
  <si>
    <t>Tues. Mar. 8</t>
  </si>
  <si>
    <t>Wed. Mar. 23</t>
  </si>
  <si>
    <t>Wed. Mar. 30</t>
  </si>
  <si>
    <t>Curtis Wright L/D</t>
  </si>
  <si>
    <t>Mande Music L/D</t>
  </si>
  <si>
    <t>Sat. April 2</t>
  </si>
  <si>
    <t>Lee &amp; Kallay</t>
  </si>
  <si>
    <t>Wed. April 6</t>
  </si>
  <si>
    <t>Sun. April 3</t>
  </si>
  <si>
    <t>Zabava!</t>
  </si>
  <si>
    <t>Sun. April 10</t>
  </si>
  <si>
    <t>Fri. April 15</t>
  </si>
  <si>
    <t>Sun. April 17</t>
  </si>
  <si>
    <t>Sat. April 23</t>
  </si>
  <si>
    <t>Millennium Consort</t>
  </si>
  <si>
    <t>Sun. April 24</t>
  </si>
  <si>
    <t>Jung Trio</t>
  </si>
  <si>
    <t>Mon. April 25</t>
  </si>
  <si>
    <t>Thurs. April 28</t>
  </si>
  <si>
    <t>Fri. April 29</t>
  </si>
  <si>
    <t xml:space="preserve">Sat. April 30 </t>
  </si>
  <si>
    <t>Sun. May 1</t>
  </si>
  <si>
    <t>Mon. May 2</t>
  </si>
  <si>
    <t>Tues. May 3</t>
  </si>
  <si>
    <t>Wed. May 4</t>
  </si>
  <si>
    <t>Fri. April 1</t>
  </si>
  <si>
    <t>Li &amp; Lee Sr. Recital</t>
  </si>
  <si>
    <t>Fri. April 8</t>
  </si>
  <si>
    <t>7:47pm</t>
  </si>
  <si>
    <t>Piano Class Recital</t>
  </si>
  <si>
    <t>Th May 19</t>
  </si>
  <si>
    <t>9pm</t>
  </si>
  <si>
    <t>Glee Tour</t>
  </si>
  <si>
    <t>rained all day</t>
  </si>
  <si>
    <t>Lecco, Basilica San Nicolo</t>
  </si>
  <si>
    <t>Sat May 21</t>
  </si>
  <si>
    <t>Venice, Chiesa San Salvador</t>
  </si>
  <si>
    <t>Sun May 22</t>
  </si>
  <si>
    <t>noon</t>
  </si>
  <si>
    <t>n/a</t>
  </si>
  <si>
    <t>Mass Participation</t>
  </si>
  <si>
    <t>Venice, Basilica San Marco</t>
  </si>
  <si>
    <t>Tue. May 24</t>
  </si>
  <si>
    <t>c. 75</t>
  </si>
  <si>
    <t>UNESCO performance</t>
  </si>
  <si>
    <t>Wed. May 25</t>
  </si>
  <si>
    <t>c. 95</t>
  </si>
  <si>
    <t>Florence, Basilica Santa Trinita</t>
  </si>
  <si>
    <t>Fri. May 27</t>
  </si>
  <si>
    <t>c. 125</t>
  </si>
  <si>
    <t>Rome, Chiesa San Marcello</t>
  </si>
  <si>
    <t>Sat. May 28</t>
  </si>
  <si>
    <t>5pm</t>
  </si>
  <si>
    <t>Rome, Basilica San Pietro</t>
  </si>
  <si>
    <t>Sun. Sept. 11</t>
  </si>
  <si>
    <t>home reception</t>
  </si>
  <si>
    <t>First Yr Book</t>
  </si>
  <si>
    <t>FULL HOUSE!</t>
  </si>
  <si>
    <t>evening</t>
  </si>
  <si>
    <t>Sun. Aug. 28</t>
  </si>
  <si>
    <t>Tues. Aug. 30</t>
  </si>
  <si>
    <t>Fri. Sept. 23</t>
  </si>
  <si>
    <t>Brentano</t>
  </si>
  <si>
    <t>Reception w/c.85 - food just about right</t>
  </si>
  <si>
    <t>Chamber Music Ext</t>
  </si>
  <si>
    <t>10:30am</t>
  </si>
  <si>
    <t>Lee Children's Concert</t>
  </si>
  <si>
    <t>21/28</t>
  </si>
  <si>
    <t>20 capacity by reservation</t>
  </si>
  <si>
    <t>Reception - extra cookies dozen and some brownies</t>
  </si>
  <si>
    <t>Fri. Oct. 7</t>
  </si>
  <si>
    <t>counter acting up</t>
  </si>
  <si>
    <t xml:space="preserve">3pm </t>
  </si>
  <si>
    <t>Kwok Memorial</t>
  </si>
  <si>
    <t>Lee: Debussy, Kohn &amp; Ung</t>
  </si>
  <si>
    <t>Wed. Oct. 12</t>
  </si>
  <si>
    <t>4:15pm</t>
  </si>
  <si>
    <t>Merengue</t>
  </si>
  <si>
    <t>Kohn at 90</t>
  </si>
  <si>
    <t>Sat. Oct. 22</t>
  </si>
  <si>
    <t>Wed. Oct. 26</t>
  </si>
  <si>
    <t>Sat. Oct. 29</t>
  </si>
  <si>
    <t>Kallay</t>
  </si>
  <si>
    <t>Sun. Oct. 30</t>
  </si>
  <si>
    <t>Cascade of Pianos</t>
  </si>
  <si>
    <t>Modern Trio Sonata</t>
  </si>
  <si>
    <t>I believe we were low on our count</t>
  </si>
  <si>
    <t>Fri. Nov. 11</t>
  </si>
  <si>
    <t>Clark Memorial</t>
  </si>
  <si>
    <t>Tues. Nov. 22</t>
  </si>
  <si>
    <t>Mon. Nov. 28</t>
  </si>
  <si>
    <t>West African</t>
  </si>
  <si>
    <t>Wed. Nov. 30</t>
  </si>
  <si>
    <t>Ussachevsky 1</t>
  </si>
  <si>
    <t>Ussachevsky Lect/Demo</t>
  </si>
  <si>
    <t>Ussachevsky 2</t>
  </si>
  <si>
    <t>Sun. Feb. 5</t>
  </si>
  <si>
    <t>Peterson, organ</t>
  </si>
  <si>
    <t>Bridges Hall of M</t>
  </si>
  <si>
    <t>Sat. Feb. 11</t>
  </si>
  <si>
    <t>Lee &amp; Bahn</t>
  </si>
  <si>
    <t>Sun.  Feb. 12</t>
  </si>
  <si>
    <t>Ming &amp; Friends</t>
  </si>
  <si>
    <t>Chamber Orchestra</t>
  </si>
  <si>
    <t>Fri. Feb. 24</t>
  </si>
  <si>
    <t>Wed. Feb. 15</t>
  </si>
  <si>
    <t>Wed. Mar. 1</t>
  </si>
  <si>
    <t>Sat. Mar. 4</t>
  </si>
  <si>
    <t>Eclipse +</t>
  </si>
  <si>
    <t>Sun. Mar. 5</t>
  </si>
  <si>
    <t>Brass Extravaganza</t>
  </si>
  <si>
    <t>Tues. Mar. 7</t>
  </si>
  <si>
    <t>Jazz Ens. &amp; Combos</t>
  </si>
  <si>
    <t>Sun. Mar. 26</t>
  </si>
  <si>
    <t xml:space="preserve">Sat. April 1 </t>
  </si>
  <si>
    <t>Piano Trio (Mojave)</t>
  </si>
  <si>
    <t>Sun. April 2</t>
  </si>
  <si>
    <t>Givens</t>
  </si>
  <si>
    <t>Fri. April 14</t>
  </si>
  <si>
    <t>PCO &amp; PCC</t>
  </si>
  <si>
    <t>Sun. April 16</t>
  </si>
  <si>
    <t>Mon. Aprl 25</t>
  </si>
  <si>
    <t>Thurs. April 27</t>
  </si>
  <si>
    <t>Glee</t>
  </si>
  <si>
    <t>Jazz w/guest</t>
  </si>
  <si>
    <t>Mon. May 1</t>
  </si>
  <si>
    <t>Fri. April 28</t>
  </si>
  <si>
    <t>Sat. April 29</t>
  </si>
  <si>
    <t>Sun. April 30</t>
  </si>
  <si>
    <t>Wed. Mar. 29</t>
  </si>
  <si>
    <t>Fri. April 7</t>
  </si>
  <si>
    <t>Sun, Jr. Recital</t>
  </si>
  <si>
    <t>Sat. April 8</t>
  </si>
  <si>
    <t>Woods, Jr. Recital</t>
  </si>
  <si>
    <t>Tues. April 18</t>
  </si>
  <si>
    <t>Tues. May 2</t>
  </si>
  <si>
    <t>Wed. May 3</t>
  </si>
  <si>
    <t>Evan &amp; Eric, Jr. Recital</t>
  </si>
  <si>
    <t>Fri. April 21</t>
  </si>
  <si>
    <t>324+</t>
  </si>
  <si>
    <t>Wed. May 17</t>
  </si>
  <si>
    <t>Hood River</t>
  </si>
  <si>
    <t>Riverside Community (C. Fick)</t>
  </si>
  <si>
    <t>Fri. May 19</t>
  </si>
  <si>
    <t>Medford</t>
  </si>
  <si>
    <t>Medford UCC (N. Tutland)</t>
  </si>
  <si>
    <t>Sat. May 20</t>
  </si>
  <si>
    <t>Salem</t>
  </si>
  <si>
    <t>Capital Manor Sr. Retirement Community</t>
  </si>
  <si>
    <t>Mon. May 22</t>
  </si>
  <si>
    <t>6:30pm</t>
  </si>
  <si>
    <t>St. Paul's Episcopal (W. Curtis)</t>
  </si>
  <si>
    <t>c.155</t>
  </si>
  <si>
    <t>Tues. Sept. 5</t>
  </si>
  <si>
    <t>Sun. Sept. 10</t>
  </si>
  <si>
    <t>Fri. Sept. 8</t>
  </si>
  <si>
    <t>Walwyn Lecture</t>
  </si>
  <si>
    <t>overflow to Lyman Hall</t>
  </si>
  <si>
    <t>Fri. Sept. 15</t>
  </si>
  <si>
    <t>Jung &amp; Tsai</t>
  </si>
  <si>
    <t>Sun. Sept. 17</t>
  </si>
  <si>
    <t>Möller &amp; Fraticelli Guitar Duo</t>
  </si>
  <si>
    <t>Sat. Sept. 23</t>
  </si>
  <si>
    <t>N. Ford "ORFEUS"</t>
  </si>
  <si>
    <t>Sat. Sept. 30</t>
  </si>
  <si>
    <t>Lee Solo recital</t>
  </si>
  <si>
    <t>Fri. Oct. 6</t>
  </si>
  <si>
    <t>Sat. Oct. 7</t>
  </si>
  <si>
    <t>Inaugural Kick-off Concert</t>
  </si>
  <si>
    <t>Sun. Oct. 8</t>
  </si>
  <si>
    <t>Wed. Oct. 11</t>
  </si>
  <si>
    <t>Sun. Oct. 22</t>
  </si>
  <si>
    <t>Bovyer &amp; Lee-Brahms</t>
  </si>
  <si>
    <t>Wed. Oct. 25</t>
  </si>
  <si>
    <t>8:30pm</t>
  </si>
  <si>
    <t>Doc: "…untouchable drum"</t>
  </si>
  <si>
    <t>Smith CC/Rose Thea.</t>
  </si>
  <si>
    <t>Tues. Nov. 7</t>
  </si>
  <si>
    <t>Wed. Nov. 8</t>
  </si>
  <si>
    <t>Sherinian Lecture</t>
  </si>
  <si>
    <t>Fri. Nov. 10</t>
  </si>
  <si>
    <t>Sat. Nov. 11</t>
  </si>
  <si>
    <t>Wood's Sr. Recital</t>
  </si>
  <si>
    <t>Sun. Nov. 12</t>
  </si>
  <si>
    <t>Fri. Nov. 17</t>
  </si>
  <si>
    <t>Sat. Nov. 18</t>
  </si>
  <si>
    <t>Berman</t>
  </si>
  <si>
    <t>Sun. Nov. 19</t>
  </si>
  <si>
    <t>Tues. Nov. 21</t>
  </si>
  <si>
    <t>Mon. Nov. 27</t>
  </si>
  <si>
    <t>Wed. Nov. 29</t>
  </si>
  <si>
    <t>Fri. Dec. 1</t>
  </si>
  <si>
    <t>Sun. Dec. 3</t>
  </si>
  <si>
    <t>Mon. Dec. 4</t>
  </si>
  <si>
    <t>Tues. Dec. 5</t>
  </si>
  <si>
    <t>Wed. Dec. 6</t>
  </si>
  <si>
    <t>Wed. 9/13</t>
  </si>
  <si>
    <t>eve</t>
  </si>
  <si>
    <t>Book lecture</t>
  </si>
  <si>
    <t>Sun. Oct. 1</t>
  </si>
  <si>
    <t>Memorial - Bell</t>
  </si>
  <si>
    <t>600+ FULL</t>
  </si>
  <si>
    <t>short recital</t>
  </si>
  <si>
    <t>131 (est)</t>
  </si>
  <si>
    <t>--</t>
  </si>
  <si>
    <t>Fri. Nov. 3</t>
  </si>
  <si>
    <t xml:space="preserve">Sponsored by Asian American Studies </t>
  </si>
  <si>
    <t>Taiko Drumming (concert)</t>
  </si>
  <si>
    <t>244 - full</t>
  </si>
  <si>
    <t>c.279</t>
  </si>
  <si>
    <t>Sat. Jan. 27</t>
  </si>
  <si>
    <t>Brandes/Moe</t>
  </si>
  <si>
    <t>cancelled - illness</t>
  </si>
  <si>
    <t>Fri. Feb. 2</t>
  </si>
  <si>
    <t>Sat. Feb. 3</t>
  </si>
  <si>
    <t>Fri. Feb. 11</t>
  </si>
  <si>
    <t>12:30pm</t>
  </si>
  <si>
    <t>Givens – candidate concert</t>
  </si>
  <si>
    <t>Wed. Feb. 14</t>
  </si>
  <si>
    <t>Fri. Feb. 16</t>
  </si>
  <si>
    <t>Fac. Recital-Family Wkend</t>
  </si>
  <si>
    <t>Mon. Feb. 19</t>
  </si>
  <si>
    <t>Gamelan Cudamani_MC</t>
  </si>
  <si>
    <t>Bryant</t>
  </si>
  <si>
    <t>Fri. Feb. 23</t>
  </si>
  <si>
    <t>Sat. Feb. 24</t>
  </si>
  <si>
    <t>Mariachi</t>
  </si>
  <si>
    <t>Sun. Feb. 25</t>
  </si>
  <si>
    <t>Wed. Mar. 7</t>
  </si>
  <si>
    <t>Sum. Mar. 4</t>
  </si>
  <si>
    <t>Fac. Chamber Recital</t>
  </si>
  <si>
    <t>Tues. Mar. 6</t>
  </si>
  <si>
    <t>Fri. Mar. 23</t>
  </si>
  <si>
    <t>Sr. Recital-Brether/Wolbert</t>
  </si>
  <si>
    <t>Sr. Recital: Saylor/Curtis</t>
  </si>
  <si>
    <t>Sat. Mar. 24</t>
  </si>
  <si>
    <t>Fri. Mar. 30</t>
  </si>
  <si>
    <t>Sat. Mar. 31</t>
  </si>
  <si>
    <t>Sun. April 15</t>
  </si>
  <si>
    <t>Sr. Recital-Curtis/Ponomareva</t>
  </si>
  <si>
    <t>Sr. Recital: Melling/Sano/Taylor/Sun</t>
  </si>
  <si>
    <t>Wed. April 4</t>
  </si>
  <si>
    <t>Piano Ensemble</t>
  </si>
  <si>
    <t>Tues. April 17</t>
  </si>
  <si>
    <t>Sat. April 21</t>
  </si>
  <si>
    <t>Sr. Recital-Cooper/Meadors/Iliakis</t>
  </si>
  <si>
    <t>Mon. Aprl 23</t>
  </si>
  <si>
    <t>Santa Barbara</t>
  </si>
  <si>
    <t>Trinity Episcopal Church</t>
  </si>
  <si>
    <t>Wed. May 16</t>
  </si>
  <si>
    <t>Ventura</t>
  </si>
  <si>
    <t>Tues. May 15</t>
  </si>
  <si>
    <t>7:30pm</t>
  </si>
  <si>
    <t>Fri. May 18</t>
  </si>
  <si>
    <t>Los Angeles</t>
  </si>
  <si>
    <t xml:space="preserve">St. John's Cathedral </t>
  </si>
  <si>
    <t>St. Paul's Episcopal</t>
  </si>
  <si>
    <t>**Thurs. May 17</t>
  </si>
  <si>
    <t>The Midnight Mission</t>
  </si>
  <si>
    <t>Skid Row, Los Angeles</t>
  </si>
  <si>
    <t>full except for a few seats we couldn’t access during the event and there was no overflow</t>
  </si>
  <si>
    <t>held his own at his house</t>
  </si>
  <si>
    <t>M. Chingodza</t>
  </si>
  <si>
    <t>Chen - Improv Wkshop</t>
  </si>
  <si>
    <t>Cage "Electronic Music…"</t>
  </si>
  <si>
    <t>Chamber Music Extrav</t>
  </si>
  <si>
    <t>12:15pm</t>
  </si>
  <si>
    <t>FNC-Lee&amp;Parkins</t>
  </si>
  <si>
    <t>London Handel Players</t>
  </si>
  <si>
    <t>Baroque Dance L/D</t>
  </si>
  <si>
    <t>Bernstein</t>
  </si>
  <si>
    <t>FNC-Cornucopia</t>
  </si>
  <si>
    <t>Acs/Dubon Jr Recital</t>
  </si>
  <si>
    <t>x</t>
  </si>
  <si>
    <t>FNC-Theoboux&amp;K. Lee</t>
  </si>
  <si>
    <t>full capacity w/ partial front row unavailable                 with hallway standers up to 48</t>
  </si>
  <si>
    <t>Fac. Recital-Givens-Family Wkend</t>
  </si>
  <si>
    <t>S. Betanzos,  Jr Rec</t>
  </si>
  <si>
    <t>cold and rainy</t>
  </si>
  <si>
    <t>LA Harptette</t>
  </si>
  <si>
    <t>no count (c.185)</t>
  </si>
  <si>
    <t>Rostam</t>
  </si>
  <si>
    <t>Humanities Studio/History</t>
  </si>
  <si>
    <t>Mongolian Singer (Hargana)</t>
  </si>
  <si>
    <t>standing room only</t>
  </si>
  <si>
    <t>J. Taylor Sr. Rec/lect</t>
  </si>
  <si>
    <t>Brandes &amp; Moe</t>
  </si>
  <si>
    <t>M. Cook Jr. Rec</t>
  </si>
  <si>
    <t>K Guo, Sr. Rec.</t>
  </si>
  <si>
    <t>Crumb/Lee</t>
  </si>
  <si>
    <t>Blankenburg/Menzies</t>
  </si>
  <si>
    <t>Music From China</t>
  </si>
  <si>
    <t>Chamber Mus. Stud.Rec.</t>
  </si>
  <si>
    <t>Glee Sat. pre-com. program</t>
  </si>
  <si>
    <t>Glee Tour-NYC</t>
  </si>
  <si>
    <t>Glee Tour-Wayne</t>
  </si>
  <si>
    <t>Glee Tour-Philadelphia</t>
  </si>
  <si>
    <t>Glee Tour-Williamsburg</t>
  </si>
  <si>
    <t>Glee Tour-Springfield</t>
  </si>
  <si>
    <t>7:45pm</t>
  </si>
  <si>
    <t>3:25pm</t>
  </si>
  <si>
    <t>St. Ignatius of Antioch</t>
  </si>
  <si>
    <t>Church of the Holy Trinity</t>
  </si>
  <si>
    <t>Glee Tour-DC</t>
  </si>
  <si>
    <t>Bruton Parish</t>
  </si>
  <si>
    <t>Messiah United Meth. Church</t>
  </si>
  <si>
    <t>c. 66 alumni</t>
  </si>
  <si>
    <t>c. 7 alumni</t>
  </si>
  <si>
    <t>c. 25 alumni; Choral Prelude to Evensong</t>
  </si>
  <si>
    <t>c. 3 alumni; Candlelight Concert series</t>
  </si>
  <si>
    <t>c. 8 alumni; Matthew Cook's church</t>
  </si>
  <si>
    <t>c. 6 alumni; Peter Brown's church</t>
  </si>
  <si>
    <t>St. David's Episcopal</t>
  </si>
  <si>
    <t>Washington National Cathedral</t>
  </si>
  <si>
    <t xml:space="preserve">Pisa, </t>
  </si>
  <si>
    <t>Jeng and Dai (violin)</t>
  </si>
  <si>
    <t>Pakaraguian KE</t>
  </si>
  <si>
    <t>Althea Waites</t>
  </si>
  <si>
    <t>Dubon Sr. Recital</t>
  </si>
  <si>
    <t>Vox Luminis</t>
  </si>
  <si>
    <t>Kleinecke</t>
  </si>
  <si>
    <t>Sr. Recital - Betanzos</t>
  </si>
  <si>
    <t>Kohn/Rudich</t>
  </si>
  <si>
    <t>Sr. Recital - Brown</t>
  </si>
  <si>
    <t>Lee/Brightwork</t>
  </si>
  <si>
    <t>Lee</t>
  </si>
  <si>
    <t>PRISM</t>
  </si>
  <si>
    <t>FNC: Young &amp; Chang</t>
  </si>
  <si>
    <t>Punjabi</t>
  </si>
  <si>
    <t>n/a COVID-19</t>
  </si>
  <si>
    <t>private, online</t>
  </si>
  <si>
    <t>limited to 5-C audience</t>
  </si>
  <si>
    <t>Z. Freeman Sr. Rec</t>
  </si>
  <si>
    <t>Plucked on Bach-J. Rockwell</t>
  </si>
  <si>
    <t>Genevieve Lee</t>
  </si>
  <si>
    <t>CANCELED</t>
  </si>
  <si>
    <t>COVID protocols</t>
  </si>
  <si>
    <t>12-3pm</t>
  </si>
  <si>
    <t xml:space="preserve">Fête musicale </t>
  </si>
  <si>
    <t>Sr. Recital - J. Szulc-Donnell</t>
  </si>
  <si>
    <t>Sr. Recital - A Zhao</t>
  </si>
  <si>
    <t>Postponed</t>
  </si>
  <si>
    <t>Sr. Recital - Sipowicz</t>
  </si>
  <si>
    <t>Sontag Greek Theatre</t>
  </si>
  <si>
    <t>TICKETED-seating limited to balcony only</t>
  </si>
  <si>
    <t>est.</t>
  </si>
  <si>
    <t>Sr. Lecture-Recital - S. Smith</t>
  </si>
  <si>
    <t>Sr. Lecture-Recital - K. Naehu-Rmos</t>
  </si>
  <si>
    <t>Sr. Recital - K. Burgstahler</t>
  </si>
  <si>
    <t>Sr. Recital - A. Zhao</t>
  </si>
  <si>
    <t>Bridges Hall of Music front patio</t>
  </si>
  <si>
    <t>Bridges Auditorium</t>
  </si>
  <si>
    <t>Sr. Recital - S. Uehara</t>
  </si>
  <si>
    <t>Sr. Recital - I. Shapiro</t>
  </si>
  <si>
    <t>c.230</t>
  </si>
  <si>
    <t>Easter</t>
  </si>
  <si>
    <t>moved due to orchestral strings &amp; winds perf.</t>
  </si>
  <si>
    <t>Glee Tour- Santa Barbara</t>
  </si>
  <si>
    <t>Glee Tour- Benton Museum</t>
  </si>
  <si>
    <t>Glee Tour- Palm Desert</t>
  </si>
  <si>
    <t>Unitarian Society of Santa Barbara</t>
  </si>
  <si>
    <t>Benton Museum-Pomona College</t>
  </si>
  <si>
    <t>The Artists Council's Artists Center at the Galen</t>
  </si>
  <si>
    <t>Glee Tour- Getty</t>
  </si>
  <si>
    <t>Pop-up Performance in Entry Pavilion</t>
  </si>
  <si>
    <t>The Getty Center</t>
  </si>
  <si>
    <t>Sr. Proj. - E Tallman &amp; D. Jin</t>
  </si>
  <si>
    <t>Student String Qtet (Honey)</t>
  </si>
  <si>
    <t>TICKETED-seating limited on floor,balcony open</t>
  </si>
  <si>
    <t>Manzanita</t>
  </si>
  <si>
    <t>Lee &amp; Friends</t>
  </si>
  <si>
    <t>Givens &amp; Cheng</t>
  </si>
  <si>
    <t>Ciaramella</t>
  </si>
  <si>
    <t>Larget-Caplan</t>
  </si>
  <si>
    <t>PC Choir</t>
  </si>
  <si>
    <t>Hoseth-Sr. Project</t>
  </si>
  <si>
    <t>Lots of leftovers</t>
  </si>
  <si>
    <t>cancelled-lack of student apps</t>
  </si>
  <si>
    <t>Adean Ayamara Band</t>
  </si>
  <si>
    <t>in conjunction w/Oldenborg</t>
  </si>
  <si>
    <t>they handled outdoors</t>
  </si>
  <si>
    <t>Wm. C. Nyaho</t>
  </si>
  <si>
    <t>S. Wang Sr. Proj</t>
  </si>
  <si>
    <t>M. Givens</t>
  </si>
  <si>
    <t>M. Goodwin Sr Proj</t>
  </si>
  <si>
    <t>Wm Peterson &amp; C Robertson</t>
  </si>
  <si>
    <t>R. Falzon Sr Proj</t>
  </si>
  <si>
    <t>J. Rockwell</t>
  </si>
  <si>
    <t>Orchestra &amp; Choir</t>
  </si>
  <si>
    <t>UCSB Middle East Ens.</t>
  </si>
  <si>
    <t>Cornucopia - FNC</t>
  </si>
  <si>
    <t>Alumni weekend</t>
  </si>
  <si>
    <t>Tranquada Memoria</t>
  </si>
  <si>
    <t>168</t>
  </si>
  <si>
    <t>Thornblade/Lee</t>
  </si>
  <si>
    <t>missing</t>
  </si>
  <si>
    <t>Lee Studio Recital</t>
  </si>
  <si>
    <t>afternoon</t>
  </si>
  <si>
    <t>K. Supové</t>
  </si>
  <si>
    <t xml:space="preserve">Cornucopia </t>
  </si>
  <si>
    <t>Lee Beethoven IV (Chalifour)</t>
  </si>
  <si>
    <t>Lee &amp; deMaine</t>
  </si>
  <si>
    <t>Artifex Consort</t>
  </si>
  <si>
    <t>Lee Beethoven V (Gearhart)</t>
  </si>
  <si>
    <t>Quartet for the End of Time</t>
  </si>
  <si>
    <t>Young &amp; Chang - FNC</t>
  </si>
  <si>
    <t>Ray-Kallay duo</t>
  </si>
  <si>
    <t>Opera Prima</t>
  </si>
  <si>
    <t>Lee Beethoven VI (Bahn)</t>
  </si>
  <si>
    <t>plus standing in lobby</t>
  </si>
  <si>
    <t>Glee:</t>
  </si>
  <si>
    <t>London</t>
  </si>
  <si>
    <t>St. James' Piccadilly</t>
  </si>
  <si>
    <t>Cambridge</t>
  </si>
  <si>
    <t>Trinity College Chapel Service</t>
  </si>
  <si>
    <t>unable to count</t>
  </si>
  <si>
    <t>York</t>
  </si>
  <si>
    <t>St. Michael Le Belfry</t>
  </si>
  <si>
    <t>Durham</t>
  </si>
  <si>
    <t>Durham Cathedral</t>
  </si>
  <si>
    <t>St. Andrews</t>
  </si>
  <si>
    <t>Holy Trinity</t>
  </si>
  <si>
    <t>Edinburgh</t>
  </si>
  <si>
    <t>St. Giles</t>
  </si>
  <si>
    <t>5/15 - 7:30</t>
  </si>
  <si>
    <t>5/16 - 7:30</t>
  </si>
  <si>
    <t>5/18 - 8:00</t>
  </si>
  <si>
    <t>Rose City Park, Portland</t>
  </si>
  <si>
    <t>5/20 - 7:30</t>
  </si>
  <si>
    <t>St. Stephen's, Seattle</t>
  </si>
  <si>
    <t>St. John's,Berkeley</t>
  </si>
  <si>
    <t>1st Palo Alto, Palo Alto</t>
  </si>
  <si>
    <t>Glee Tour:</t>
  </si>
  <si>
    <t>105</t>
  </si>
  <si>
    <t>Beethoven 9</t>
  </si>
  <si>
    <t>Gamelan Merdu Kumala</t>
  </si>
  <si>
    <t>Wm Peterson</t>
  </si>
  <si>
    <t>Piano Ensemble/Lee Studio</t>
  </si>
  <si>
    <t>Manzanita Quartet</t>
  </si>
  <si>
    <t>Alumni Pianos</t>
  </si>
  <si>
    <t>Outdoors, a bit of food leftover</t>
  </si>
  <si>
    <t>15 for afternoon lecture/demo</t>
  </si>
  <si>
    <t>M. Thacher-Sr. Project</t>
  </si>
  <si>
    <t>YES, Sr. Reception - lots of food leftover</t>
  </si>
  <si>
    <t>22? Or 40?</t>
  </si>
  <si>
    <t>E. Lee-Sr. Recital</t>
  </si>
  <si>
    <t>none. A non music major</t>
  </si>
  <si>
    <t>3:30pm</t>
  </si>
  <si>
    <t>not avail.</t>
  </si>
  <si>
    <t>Opening Convocation</t>
  </si>
  <si>
    <t>Two Pianos</t>
  </si>
  <si>
    <t>Celliola &amp; Friends</t>
  </si>
  <si>
    <t>Rachmaninoff Piano Duos</t>
  </si>
  <si>
    <t>Artemesia</t>
  </si>
  <si>
    <t>FNC: Mozart and Brubeck</t>
  </si>
  <si>
    <t>FNC: Guastavino and Lutoslawski</t>
  </si>
  <si>
    <t>FNC: Cornucopia</t>
  </si>
  <si>
    <t>Genevieve Lee Solo</t>
  </si>
  <si>
    <t>Meredith Monk</t>
  </si>
  <si>
    <t>Crumb</t>
  </si>
  <si>
    <t>Musical Journeys</t>
  </si>
  <si>
    <t>Artifex &amp; PRISM</t>
  </si>
  <si>
    <t>Wm Peterson Organ Concert</t>
  </si>
  <si>
    <t>W. Zhao Organ Concert</t>
  </si>
  <si>
    <t>plus 80-90 in lobby</t>
  </si>
  <si>
    <t>Biber Sonatas</t>
  </si>
  <si>
    <t>Students</t>
  </si>
  <si>
    <t>Total Count</t>
  </si>
  <si>
    <t>Levinson/Fadial</t>
  </si>
  <si>
    <t>Rubab &amp; Tabla</t>
  </si>
  <si>
    <t>History Dept helped promote</t>
  </si>
  <si>
    <t>Brightwork/Hex</t>
  </si>
  <si>
    <t>Dai/Jung</t>
  </si>
  <si>
    <t>Choir/Orchestra</t>
  </si>
  <si>
    <t>very tight seating; a few dozen turned away</t>
  </si>
  <si>
    <t>lots of in and out due to class photos</t>
  </si>
  <si>
    <t>Perfect amount of food; slightly short on crackers</t>
  </si>
  <si>
    <t>Through the Gates</t>
  </si>
  <si>
    <t>lots of in and out</t>
  </si>
  <si>
    <t>Music &amp; Art / Glee Club</t>
  </si>
  <si>
    <t>incl. ~25 in overflow room</t>
  </si>
  <si>
    <t>Senior Sounds</t>
  </si>
  <si>
    <t>Senior Recital (Jesien)</t>
  </si>
  <si>
    <t>Senior Recital (Kokonas)</t>
  </si>
  <si>
    <t>Oak Park</t>
  </si>
  <si>
    <t>Chicago</t>
  </si>
  <si>
    <t>Cambridge,MA</t>
  </si>
  <si>
    <t>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</si>
</sst>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/d"/>
    <numFmt numFmtId="165" formatCode="[$-409]h:mm\ AM/PM;@"/>
    <numFmt numFmtId="166" formatCode="m/d/yy;@"/>
  </numFmts>
  <fonts count="18" x14ac:knownFonts="1">
    <font>
      <sz val="10"/>
      <name val="Verdana"/>
    </font>
    <font>
      <sz val="10"/>
      <name val="Verdana"/>
      <family val="2"/>
    </font>
    <font>
      <sz val="11"/>
      <name val="Abadi MT Condensed Light"/>
      <family val="2"/>
    </font>
    <font>
      <sz val="11"/>
      <name val="Abadi MT Condensed Extra Bold"/>
      <family val="2"/>
    </font>
    <font>
      <b/>
      <sz val="12"/>
      <name val="Abadi MT Condensed Light"/>
      <family val="2"/>
    </font>
    <font>
      <sz val="8"/>
      <name val="Verdana"/>
      <family val="2"/>
    </font>
    <font>
      <b/>
      <sz val="11"/>
      <name val="Abadi MT Condensed Light"/>
      <family val="2"/>
    </font>
    <font>
      <sz val="10"/>
      <name val="Abadi MT Condensed Light"/>
      <family val="2"/>
    </font>
    <font>
      <sz val="9"/>
      <name val="Abadi MT Condensed Light"/>
      <family val="2"/>
    </font>
    <font>
      <i/>
      <sz val="11"/>
      <name val="Abadi MT Condensed Light"/>
      <family val="2"/>
    </font>
    <font>
      <sz val="11"/>
      <name val="Verdana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i/>
      <sz val="9"/>
      <name val="Arial Narrow"/>
      <family val="2"/>
    </font>
    <font>
      <i/>
      <sz val="8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lightDown">
        <fgColor indexed="8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rgb="FF80808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</borders>
  <cellStyleXfs count="2">
    <xf numFmtId="0" fontId="0" fillId="0" borderId="0"/>
    <xf numFmtId="43" fontId="1" fillId="0" borderId="0" applyNumberFormat="0" applyFont="0" applyFill="0" applyBorder="0" applyAlignment="0" applyProtection="0"/>
  </cellStyleXfs>
  <cellXfs count="153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64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/>
    <xf numFmtId="0" fontId="2" fillId="0" borderId="2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16" fontId="2" fillId="0" borderId="1" xfId="0" applyNumberFormat="1" applyFont="1" applyBorder="1"/>
    <xf numFmtId="0" fontId="2" fillId="2" borderId="1" xfId="0" applyFont="1" applyFill="1" applyBorder="1"/>
    <xf numFmtId="49" fontId="2" fillId="0" borderId="1" xfId="0" applyNumberFormat="1" applyFont="1" applyBorder="1"/>
    <xf numFmtId="49" fontId="0" fillId="0" borderId="1" xfId="0" applyNumberFormat="1" applyBorder="1"/>
    <xf numFmtId="0" fontId="2" fillId="0" borderId="0" xfId="0" applyFont="1"/>
    <xf numFmtId="49" fontId="6" fillId="0" borderId="1" xfId="0" applyNumberFormat="1" applyFont="1" applyBorder="1"/>
    <xf numFmtId="0" fontId="7" fillId="0" borderId="0" xfId="0" applyFont="1"/>
    <xf numFmtId="18" fontId="7" fillId="0" borderId="0" xfId="0" applyNumberFormat="1" applyFont="1"/>
    <xf numFmtId="0" fontId="7" fillId="0" borderId="0" xfId="0" quotePrefix="1" applyFont="1"/>
    <xf numFmtId="16" fontId="7" fillId="0" borderId="0" xfId="0" applyNumberFormat="1" applyFont="1"/>
    <xf numFmtId="18" fontId="2" fillId="0" borderId="1" xfId="0" applyNumberFormat="1" applyFont="1" applyBorder="1" applyAlignment="1">
      <alignment horizontal="left" wrapText="1"/>
    </xf>
    <xf numFmtId="0" fontId="3" fillId="0" borderId="0" xfId="0" applyFont="1"/>
    <xf numFmtId="165" fontId="2" fillId="0" borderId="0" xfId="1" applyNumberFormat="1" applyFont="1"/>
    <xf numFmtId="165" fontId="3" fillId="0" borderId="1" xfId="0" applyNumberFormat="1" applyFont="1" applyBorder="1" applyAlignment="1">
      <alignment horizontal="left" wrapText="1"/>
    </xf>
    <xf numFmtId="165" fontId="2" fillId="0" borderId="0" xfId="0" applyNumberFormat="1" applyFont="1"/>
    <xf numFmtId="49" fontId="3" fillId="0" borderId="1" xfId="1" applyNumberFormat="1" applyFont="1" applyBorder="1" applyAlignment="1">
      <alignment horizontal="left" wrapText="1"/>
    </xf>
    <xf numFmtId="49" fontId="2" fillId="0" borderId="0" xfId="1" applyNumberFormat="1" applyFont="1" applyAlignment="1">
      <alignment horizontal="right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9" fillId="0" borderId="1" xfId="0" applyFont="1" applyBorder="1" applyAlignment="1">
      <alignment horizontal="left" wrapText="1"/>
    </xf>
    <xf numFmtId="16" fontId="2" fillId="0" borderId="0" xfId="0" applyNumberFormat="1" applyFont="1"/>
    <xf numFmtId="49" fontId="2" fillId="2" borderId="1" xfId="0" applyNumberFormat="1" applyFont="1" applyFill="1" applyBorder="1"/>
    <xf numFmtId="0" fontId="2" fillId="0" borderId="0" xfId="0" applyFont="1" applyAlignment="1">
      <alignment horizontal="left" indent="1"/>
    </xf>
    <xf numFmtId="0" fontId="0" fillId="0" borderId="0" xfId="0" applyAlignment="1">
      <alignment vertical="center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166" fontId="7" fillId="0" borderId="0" xfId="0" applyNumberFormat="1" applyFont="1"/>
    <xf numFmtId="0" fontId="7" fillId="0" borderId="0" xfId="0" applyFont="1" applyAlignment="1">
      <alignment horizontal="left" indent="1"/>
    </xf>
    <xf numFmtId="0" fontId="10" fillId="0" borderId="0" xfId="0" applyFont="1"/>
    <xf numFmtId="0" fontId="11" fillId="0" borderId="0" xfId="0" applyFont="1"/>
    <xf numFmtId="166" fontId="11" fillId="0" borderId="1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0" borderId="1" xfId="1" applyNumberFormat="1" applyFont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right"/>
    </xf>
    <xf numFmtId="16" fontId="11" fillId="0" borderId="0" xfId="0" applyNumberFormat="1" applyFont="1"/>
    <xf numFmtId="18" fontId="11" fillId="0" borderId="0" xfId="0" applyNumberFormat="1" applyFont="1" applyAlignment="1">
      <alignment horizontal="left"/>
    </xf>
    <xf numFmtId="166" fontId="11" fillId="0" borderId="9" xfId="0" applyNumberFormat="1" applyFont="1" applyBorder="1" applyAlignment="1">
      <alignment horizontal="center" vertical="center" wrapText="1"/>
    </xf>
    <xf numFmtId="165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0" fontId="11" fillId="0" borderId="11" xfId="0" applyFont="1" applyBorder="1"/>
    <xf numFmtId="0" fontId="11" fillId="0" borderId="3" xfId="0" applyFont="1" applyBorder="1"/>
    <xf numFmtId="0" fontId="11" fillId="3" borderId="3" xfId="0" applyFont="1" applyFill="1" applyBorder="1"/>
    <xf numFmtId="18" fontId="11" fillId="0" borderId="3" xfId="0" applyNumberFormat="1" applyFont="1" applyBorder="1"/>
    <xf numFmtId="18" fontId="11" fillId="0" borderId="3" xfId="0" applyNumberFormat="1" applyFont="1" applyBorder="1" applyAlignment="1">
      <alignment horizontal="left"/>
    </xf>
    <xf numFmtId="165" fontId="11" fillId="0" borderId="3" xfId="0" applyNumberFormat="1" applyFont="1" applyBorder="1" applyAlignment="1">
      <alignment horizontal="left"/>
    </xf>
    <xf numFmtId="0" fontId="12" fillId="0" borderId="3" xfId="0" applyFont="1" applyBorder="1"/>
    <xf numFmtId="0" fontId="11" fillId="0" borderId="0" xfId="0" applyFont="1" applyAlignment="1">
      <alignment horizontal="left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right" vertical="center" wrapText="1"/>
    </xf>
    <xf numFmtId="0" fontId="11" fillId="0" borderId="12" xfId="0" applyFont="1" applyBorder="1" applyAlignment="1">
      <alignment horizontal="right" vertical="center" wrapText="1"/>
    </xf>
    <xf numFmtId="0" fontId="11" fillId="0" borderId="11" xfId="0" applyFont="1" applyBorder="1" applyAlignment="1">
      <alignment horizontal="right"/>
    </xf>
    <xf numFmtId="18" fontId="11" fillId="0" borderId="12" xfId="0" applyNumberFormat="1" applyFont="1" applyBorder="1" applyAlignment="1">
      <alignment horizontal="left" vertical="center" wrapText="1"/>
    </xf>
    <xf numFmtId="0" fontId="11" fillId="0" borderId="4" xfId="0" applyFont="1" applyBorder="1"/>
    <xf numFmtId="0" fontId="11" fillId="0" borderId="3" xfId="0" applyFont="1" applyBorder="1" applyAlignment="1">
      <alignment horizontal="right"/>
    </xf>
    <xf numFmtId="166" fontId="13" fillId="0" borderId="9" xfId="0" applyNumberFormat="1" applyFont="1" applyBorder="1" applyAlignment="1">
      <alignment horizontal="center" vertical="center" wrapText="1"/>
    </xf>
    <xf numFmtId="165" fontId="13" fillId="0" borderId="10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0" fontId="13" fillId="0" borderId="0" xfId="0" applyFont="1"/>
    <xf numFmtId="0" fontId="13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18" fontId="11" fillId="0" borderId="5" xfId="0" applyNumberFormat="1" applyFont="1" applyBorder="1" applyAlignment="1">
      <alignment horizontal="left" vertical="center" wrapText="1"/>
    </xf>
    <xf numFmtId="0" fontId="11" fillId="0" borderId="5" xfId="0" applyFont="1" applyBorder="1" applyAlignment="1">
      <alignment horizontal="right" vertical="center" wrapText="1"/>
    </xf>
    <xf numFmtId="0" fontId="11" fillId="0" borderId="6" xfId="0" applyFont="1" applyBorder="1"/>
    <xf numFmtId="0" fontId="11" fillId="0" borderId="6" xfId="0" applyFont="1" applyBorder="1" applyAlignment="1">
      <alignment horizontal="right"/>
    </xf>
    <xf numFmtId="0" fontId="11" fillId="0" borderId="3" xfId="0" quotePrefix="1" applyFont="1" applyBorder="1"/>
    <xf numFmtId="0" fontId="11" fillId="0" borderId="3" xfId="0" applyFont="1" applyBorder="1" applyAlignment="1">
      <alignment horizontal="right" indent="1"/>
    </xf>
    <xf numFmtId="0" fontId="11" fillId="0" borderId="7" xfId="0" applyFont="1" applyBorder="1"/>
    <xf numFmtId="0" fontId="11" fillId="0" borderId="8" xfId="0" applyFont="1" applyBorder="1"/>
    <xf numFmtId="0" fontId="11" fillId="0" borderId="5" xfId="0" applyFont="1" applyBorder="1"/>
    <xf numFmtId="14" fontId="11" fillId="0" borderId="12" xfId="0" applyNumberFormat="1" applyFont="1" applyBorder="1" applyAlignment="1">
      <alignment horizontal="left" vertical="center" wrapText="1"/>
    </xf>
    <xf numFmtId="14" fontId="11" fillId="0" borderId="11" xfId="0" applyNumberFormat="1" applyFont="1" applyBorder="1" applyAlignment="1">
      <alignment horizontal="left"/>
    </xf>
    <xf numFmtId="14" fontId="11" fillId="0" borderId="6" xfId="0" applyNumberFormat="1" applyFont="1" applyBorder="1" applyAlignment="1">
      <alignment horizontal="left"/>
    </xf>
    <xf numFmtId="14" fontId="11" fillId="0" borderId="3" xfId="0" applyNumberFormat="1" applyFont="1" applyBorder="1" applyAlignment="1">
      <alignment horizontal="left"/>
    </xf>
    <xf numFmtId="0" fontId="14" fillId="0" borderId="3" xfId="0" applyFont="1" applyBorder="1"/>
    <xf numFmtId="0" fontId="11" fillId="0" borderId="3" xfId="0" applyFont="1" applyBorder="1" applyAlignment="1">
      <alignment horizontal="left"/>
    </xf>
    <xf numFmtId="0" fontId="15" fillId="0" borderId="3" xfId="0" applyFont="1" applyBorder="1" applyAlignment="1">
      <alignment wrapText="1"/>
    </xf>
    <xf numFmtId="14" fontId="11" fillId="0" borderId="3" xfId="0" applyNumberFormat="1" applyFont="1" applyBorder="1"/>
    <xf numFmtId="20" fontId="11" fillId="0" borderId="3" xfId="0" applyNumberFormat="1" applyFont="1" applyBorder="1"/>
    <xf numFmtId="0" fontId="11" fillId="0" borderId="6" xfId="0" applyFont="1" applyBorder="1" applyAlignment="1">
      <alignment horizontal="left" indent="1"/>
    </xf>
    <xf numFmtId="0" fontId="11" fillId="0" borderId="3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7" fillId="0" borderId="0" xfId="0" applyFont="1"/>
    <xf numFmtId="166" fontId="16" fillId="0" borderId="9" xfId="0" applyNumberFormat="1" applyFont="1" applyBorder="1" applyAlignment="1">
      <alignment horizontal="left" vertical="center" wrapText="1" indent="1"/>
    </xf>
    <xf numFmtId="165" fontId="16" fillId="0" borderId="10" xfId="0" applyNumberFormat="1" applyFont="1" applyBorder="1" applyAlignment="1">
      <alignment horizontal="left" vertical="center" wrapText="1" indent="1"/>
    </xf>
    <xf numFmtId="0" fontId="16" fillId="0" borderId="10" xfId="0" applyFont="1" applyBorder="1" applyAlignment="1">
      <alignment horizontal="left" vertical="center" wrapText="1" indent="1"/>
    </xf>
    <xf numFmtId="49" fontId="16" fillId="0" borderId="10" xfId="0" applyNumberFormat="1" applyFont="1" applyBorder="1" applyAlignment="1">
      <alignment horizontal="left" vertical="center" wrapText="1" indent="1"/>
    </xf>
    <xf numFmtId="14" fontId="17" fillId="0" borderId="6" xfId="0" applyNumberFormat="1" applyFont="1" applyBorder="1" applyAlignment="1">
      <alignment horizontal="left" vertical="center" wrapText="1" indent="1"/>
    </xf>
    <xf numFmtId="0" fontId="17" fillId="0" borderId="6" xfId="0" applyFont="1" applyBorder="1" applyAlignment="1">
      <alignment horizontal="left" vertical="center" wrapText="1" indent="1"/>
    </xf>
    <xf numFmtId="14" fontId="17" fillId="0" borderId="3" xfId="0" applyNumberFormat="1" applyFont="1" applyBorder="1" applyAlignment="1">
      <alignment horizontal="left" vertical="center" wrapText="1" indent="1"/>
    </xf>
    <xf numFmtId="0" fontId="17" fillId="0" borderId="3" xfId="0" applyFont="1" applyBorder="1" applyAlignment="1">
      <alignment horizontal="left" vertical="center" wrapText="1" indent="1"/>
    </xf>
    <xf numFmtId="14" fontId="17" fillId="0" borderId="0" xfId="0" applyNumberFormat="1" applyFont="1" applyAlignment="1">
      <alignment horizontal="left" vertical="center" wrapText="1" indent="1"/>
    </xf>
    <xf numFmtId="0" fontId="17" fillId="0" borderId="0" xfId="0" applyFont="1" applyAlignment="1">
      <alignment horizontal="left" vertical="center" wrapText="1" indent="1"/>
    </xf>
    <xf numFmtId="0" fontId="16" fillId="0" borderId="13" xfId="0" applyFont="1" applyBorder="1" applyAlignment="1">
      <alignment horizontal="left" vertical="center" wrapText="1" indent="1"/>
    </xf>
    <xf numFmtId="0" fontId="17" fillId="0" borderId="14" xfId="0" applyFont="1" applyBorder="1" applyAlignment="1">
      <alignment horizontal="left" vertical="center" wrapText="1" indent="1"/>
    </xf>
    <xf numFmtId="0" fontId="17" fillId="0" borderId="7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indent="1"/>
    </xf>
    <xf numFmtId="0" fontId="17" fillId="0" borderId="3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wrapText="1" indent="1"/>
    </xf>
    <xf numFmtId="20" fontId="17" fillId="0" borderId="3" xfId="0" applyNumberFormat="1" applyFont="1" applyBorder="1" applyAlignment="1">
      <alignment horizontal="left" vertical="center" wrapText="1" indent="1"/>
    </xf>
    <xf numFmtId="0" fontId="17" fillId="0" borderId="6" xfId="0" applyFont="1" applyBorder="1" applyAlignment="1">
      <alignment horizontal="right" vertical="center" wrapText="1" indent="2"/>
    </xf>
    <xf numFmtId="0" fontId="17" fillId="0" borderId="3" xfId="0" applyFont="1" applyBorder="1" applyAlignment="1">
      <alignment horizontal="right" vertical="center" wrapText="1" indent="2"/>
    </xf>
    <xf numFmtId="0" fontId="17" fillId="0" borderId="3" xfId="0" quotePrefix="1" applyFont="1" applyBorder="1" applyAlignment="1">
      <alignment horizontal="right" vertical="center" wrapText="1" indent="2"/>
    </xf>
    <xf numFmtId="0" fontId="17" fillId="0" borderId="15" xfId="0" applyFont="1" applyBorder="1" applyAlignment="1">
      <alignment horizontal="left" vertical="center" wrapText="1" indent="1"/>
    </xf>
    <xf numFmtId="14" fontId="17" fillId="3" borderId="3" xfId="0" applyNumberFormat="1" applyFont="1" applyFill="1" applyBorder="1" applyAlignment="1">
      <alignment horizontal="left" vertical="center" wrapText="1" indent="1"/>
    </xf>
    <xf numFmtId="0" fontId="17" fillId="3" borderId="3" xfId="0" applyFont="1" applyFill="1" applyBorder="1" applyAlignment="1">
      <alignment horizontal="left" vertical="center" wrapText="1" indent="1"/>
    </xf>
    <xf numFmtId="0" fontId="17" fillId="3" borderId="7" xfId="0" applyFont="1" applyFill="1" applyBorder="1" applyAlignment="1">
      <alignment horizontal="left" vertical="center" wrapText="1" indent="1"/>
    </xf>
    <xf numFmtId="0" fontId="17" fillId="3" borderId="3" xfId="0" applyFont="1" applyFill="1" applyBorder="1" applyAlignment="1">
      <alignment horizontal="left" vertical="center" indent="1"/>
    </xf>
    <xf numFmtId="166" fontId="16" fillId="0" borderId="16" xfId="0" applyNumberFormat="1" applyFont="1" applyBorder="1" applyAlignment="1">
      <alignment horizontal="left" vertical="center" wrapText="1" indent="1"/>
    </xf>
    <xf numFmtId="165" fontId="16" fillId="0" borderId="17" xfId="0" applyNumberFormat="1" applyFont="1" applyBorder="1" applyAlignment="1">
      <alignment horizontal="left" vertical="center" wrapText="1" indent="1"/>
    </xf>
    <xf numFmtId="0" fontId="16" fillId="0" borderId="17" xfId="0" applyFont="1" applyBorder="1" applyAlignment="1">
      <alignment horizontal="left" vertical="center" wrapText="1" indent="1"/>
    </xf>
    <xf numFmtId="49" fontId="16" fillId="0" borderId="17" xfId="0" applyNumberFormat="1" applyFont="1" applyBorder="1" applyAlignment="1">
      <alignment horizontal="left" vertical="center" wrapText="1" indent="1"/>
    </xf>
    <xf numFmtId="0" fontId="16" fillId="0" borderId="18" xfId="0" applyFont="1" applyBorder="1" applyAlignment="1">
      <alignment horizontal="left" vertical="center" wrapText="1" indent="1"/>
    </xf>
    <xf numFmtId="0" fontId="16" fillId="0" borderId="8" xfId="0" applyFont="1" applyBorder="1" applyAlignment="1">
      <alignment horizontal="left" vertical="center" indent="1"/>
    </xf>
    <xf numFmtId="166" fontId="17" fillId="0" borderId="3" xfId="0" applyNumberFormat="1" applyFont="1" applyBorder="1" applyAlignment="1">
      <alignment horizontal="left" vertical="center" wrapText="1" indent="1"/>
    </xf>
    <xf numFmtId="165" fontId="17" fillId="0" borderId="3" xfId="0" applyNumberFormat="1" applyFont="1" applyBorder="1" applyAlignment="1">
      <alignment horizontal="left" vertical="center" wrapText="1" indent="1"/>
    </xf>
    <xf numFmtId="49" fontId="17" fillId="0" borderId="3" xfId="0" applyNumberFormat="1" applyFont="1" applyBorder="1" applyAlignment="1">
      <alignment horizontal="left" vertical="center" wrapText="1" inden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16" fontId="17" fillId="0" borderId="0" xfId="0" applyNumberFormat="1" applyFont="1" applyAlignment="1">
      <alignment horizontal="left" vertical="center" wrapText="1" indent="1"/>
    </xf>
    <xf numFmtId="49" fontId="16" fillId="0" borderId="10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3" xfId="0" quotePrefix="1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49" fontId="16" fillId="0" borderId="17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Comma" xfId="1" builtinId="3" customBuilti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4C71-2116-074B-9EBC-8B8F09732856}">
  <sheetPr codeName="Sheet1"/>
  <dimension ref="A1:H102"/>
  <sheetViews>
    <sheetView zoomScale="116" zoomScaleNormal="116" workbookViewId="0">
      <selection activeCell="F9" sqref="F9"/>
    </sheetView>
  </sheetViews>
  <sheetFormatPr baseColWidth="10" defaultRowHeight="19" customHeight="1" x14ac:dyDescent="0.15"/>
  <cols>
    <col min="1" max="1" width="11.6640625" style="122" customWidth="1"/>
    <col min="2" max="2" width="13" style="122" customWidth="1"/>
    <col min="3" max="3" width="23.1640625" style="122" customWidth="1"/>
    <col min="4" max="5" width="11.1640625" style="152" customWidth="1"/>
    <col min="6" max="6" width="26.5" style="122" customWidth="1"/>
    <col min="7" max="7" width="23.6640625" style="122" customWidth="1"/>
    <col min="8" max="8" width="33" style="48" customWidth="1"/>
    <col min="9" max="16384" width="10.83203125" style="48"/>
  </cols>
  <sheetData>
    <row r="1" spans="1:8" s="106" customFormat="1" ht="19" customHeight="1" x14ac:dyDescent="0.15">
      <c r="A1" s="107" t="s">
        <v>680</v>
      </c>
      <c r="B1" s="108" t="s">
        <v>681</v>
      </c>
      <c r="C1" s="109" t="s">
        <v>229</v>
      </c>
      <c r="D1" s="144" t="s">
        <v>1311</v>
      </c>
      <c r="E1" s="144" t="s">
        <v>1310</v>
      </c>
      <c r="F1" s="109" t="s">
        <v>152</v>
      </c>
      <c r="G1" s="117" t="s">
        <v>86</v>
      </c>
      <c r="H1" s="120" t="s">
        <v>802</v>
      </c>
    </row>
    <row r="2" spans="1:8" s="106" customFormat="1" ht="19" customHeight="1" x14ac:dyDescent="0.15">
      <c r="A2" s="111">
        <v>44069</v>
      </c>
      <c r="B2" s="112"/>
      <c r="C2" s="112" t="s">
        <v>1293</v>
      </c>
      <c r="D2" s="145">
        <v>10</v>
      </c>
      <c r="E2" s="145"/>
      <c r="F2" s="112"/>
      <c r="G2" s="118" t="s">
        <v>727</v>
      </c>
      <c r="H2" s="121" t="s">
        <v>883</v>
      </c>
    </row>
    <row r="3" spans="1:8" s="106" customFormat="1" ht="19" customHeight="1" x14ac:dyDescent="0.15">
      <c r="A3" s="113">
        <v>44087</v>
      </c>
      <c r="B3" s="114"/>
      <c r="C3" s="114" t="s">
        <v>1294</v>
      </c>
      <c r="D3" s="146">
        <v>202</v>
      </c>
      <c r="E3" s="146"/>
      <c r="F3" s="114"/>
      <c r="G3" s="118" t="s">
        <v>727</v>
      </c>
      <c r="H3" s="121" t="s">
        <v>883</v>
      </c>
    </row>
    <row r="4" spans="1:8" s="106" customFormat="1" ht="19" customHeight="1" x14ac:dyDescent="0.15">
      <c r="A4" s="113">
        <v>44088</v>
      </c>
      <c r="B4" s="114"/>
      <c r="C4" s="114" t="s">
        <v>1295</v>
      </c>
      <c r="D4" s="146">
        <v>136</v>
      </c>
      <c r="E4" s="146"/>
      <c r="F4" s="114"/>
      <c r="G4" s="118" t="s">
        <v>727</v>
      </c>
      <c r="H4" s="121" t="s">
        <v>883</v>
      </c>
    </row>
    <row r="5" spans="1:8" s="106" customFormat="1" ht="19" customHeight="1" x14ac:dyDescent="0.15">
      <c r="A5" s="113">
        <v>44094</v>
      </c>
      <c r="B5" s="114"/>
      <c r="C5" s="114" t="s">
        <v>1296</v>
      </c>
      <c r="D5" s="146">
        <v>292</v>
      </c>
      <c r="E5" s="146"/>
      <c r="F5" s="114"/>
      <c r="G5" s="118" t="s">
        <v>727</v>
      </c>
      <c r="H5" s="121" t="s">
        <v>883</v>
      </c>
    </row>
    <row r="6" spans="1:8" s="106" customFormat="1" ht="19" customHeight="1" x14ac:dyDescent="0.15">
      <c r="A6" s="113">
        <v>44095</v>
      </c>
      <c r="B6" s="114"/>
      <c r="C6" s="114" t="s">
        <v>1182</v>
      </c>
      <c r="D6" s="146">
        <v>158</v>
      </c>
      <c r="E6" s="146"/>
      <c r="F6" s="114"/>
      <c r="G6" s="118" t="s">
        <v>727</v>
      </c>
      <c r="H6" s="121" t="s">
        <v>883</v>
      </c>
    </row>
    <row r="7" spans="1:8" s="106" customFormat="1" ht="19" customHeight="1" x14ac:dyDescent="0.15">
      <c r="A7" s="113">
        <v>44098</v>
      </c>
      <c r="B7" s="114"/>
      <c r="C7" s="114" t="s">
        <v>56</v>
      </c>
      <c r="D7" s="146">
        <v>29</v>
      </c>
      <c r="E7" s="146"/>
      <c r="F7" s="114"/>
      <c r="G7" s="118" t="s">
        <v>88</v>
      </c>
      <c r="H7" s="121" t="s">
        <v>883</v>
      </c>
    </row>
    <row r="8" spans="1:8" s="106" customFormat="1" ht="19" customHeight="1" x14ac:dyDescent="0.15">
      <c r="A8" s="113">
        <v>44100</v>
      </c>
      <c r="B8" s="114"/>
      <c r="C8" s="114" t="s">
        <v>1300</v>
      </c>
      <c r="D8" s="147" t="s">
        <v>90</v>
      </c>
      <c r="E8" s="147"/>
      <c r="F8" s="114"/>
      <c r="G8" s="119" t="s">
        <v>88</v>
      </c>
      <c r="H8" s="121" t="s">
        <v>883</v>
      </c>
    </row>
    <row r="9" spans="1:8" s="106" customFormat="1" ht="19" customHeight="1" x14ac:dyDescent="0.15">
      <c r="A9" s="113">
        <v>44102</v>
      </c>
      <c r="B9" s="114"/>
      <c r="C9" s="114" t="s">
        <v>1306</v>
      </c>
      <c r="D9" s="146">
        <v>250</v>
      </c>
      <c r="E9" s="146"/>
      <c r="F9" s="114"/>
      <c r="G9" s="118" t="s">
        <v>727</v>
      </c>
      <c r="H9" s="121" t="s">
        <v>883</v>
      </c>
    </row>
    <row r="10" spans="1:8" s="106" customFormat="1" ht="19" customHeight="1" x14ac:dyDescent="0.15">
      <c r="A10" s="113">
        <v>44107</v>
      </c>
      <c r="B10" s="114"/>
      <c r="C10" s="114" t="s">
        <v>324</v>
      </c>
      <c r="D10" s="141">
        <v>300</v>
      </c>
      <c r="E10" s="141"/>
      <c r="F10" s="114"/>
      <c r="G10" s="118" t="s">
        <v>727</v>
      </c>
      <c r="H10" s="121" t="s">
        <v>883</v>
      </c>
    </row>
    <row r="11" spans="1:8" s="106" customFormat="1" ht="19" customHeight="1" x14ac:dyDescent="0.15">
      <c r="A11" s="113">
        <v>44109</v>
      </c>
      <c r="B11" s="114"/>
      <c r="C11" s="114" t="s">
        <v>324</v>
      </c>
      <c r="D11" s="146">
        <v>352</v>
      </c>
      <c r="E11" s="146"/>
      <c r="F11" s="114"/>
      <c r="G11" s="118" t="s">
        <v>727</v>
      </c>
      <c r="H11" s="121" t="s">
        <v>883</v>
      </c>
    </row>
    <row r="12" spans="1:8" s="106" customFormat="1" ht="19" customHeight="1" x14ac:dyDescent="0.15">
      <c r="A12" s="113">
        <v>44121</v>
      </c>
      <c r="B12" s="114"/>
      <c r="C12" s="114" t="s">
        <v>1299</v>
      </c>
      <c r="D12" s="146">
        <v>82</v>
      </c>
      <c r="E12" s="146"/>
      <c r="F12" s="114"/>
      <c r="G12" s="119" t="s">
        <v>88</v>
      </c>
      <c r="H12" s="121" t="s">
        <v>883</v>
      </c>
    </row>
    <row r="13" spans="1:8" s="106" customFormat="1" ht="19" customHeight="1" x14ac:dyDescent="0.15">
      <c r="A13" s="113">
        <v>44121</v>
      </c>
      <c r="B13" s="114"/>
      <c r="C13" s="114" t="s">
        <v>1297</v>
      </c>
      <c r="D13" s="146">
        <v>135</v>
      </c>
      <c r="E13" s="146"/>
      <c r="F13" s="114"/>
      <c r="G13" s="118" t="s">
        <v>727</v>
      </c>
      <c r="H13" s="121" t="s">
        <v>883</v>
      </c>
    </row>
    <row r="14" spans="1:8" s="106" customFormat="1" ht="19" customHeight="1" x14ac:dyDescent="0.15">
      <c r="A14" s="113">
        <v>44128</v>
      </c>
      <c r="B14" s="114"/>
      <c r="C14" s="114" t="s">
        <v>1298</v>
      </c>
      <c r="D14" s="146">
        <v>114</v>
      </c>
      <c r="E14" s="146"/>
      <c r="F14" s="114"/>
      <c r="G14" s="118" t="s">
        <v>88</v>
      </c>
      <c r="H14" s="121" t="s">
        <v>883</v>
      </c>
    </row>
    <row r="15" spans="1:8" s="106" customFormat="1" ht="19" customHeight="1" x14ac:dyDescent="0.15">
      <c r="A15" s="113">
        <v>44129</v>
      </c>
      <c r="B15" s="114"/>
      <c r="C15" s="114" t="s">
        <v>542</v>
      </c>
      <c r="D15" s="146">
        <v>120</v>
      </c>
      <c r="E15" s="146"/>
      <c r="F15" s="114"/>
      <c r="G15" s="118" t="s">
        <v>727</v>
      </c>
      <c r="H15" s="121" t="s">
        <v>883</v>
      </c>
    </row>
    <row r="16" spans="1:8" s="106" customFormat="1" ht="19" customHeight="1" x14ac:dyDescent="0.15">
      <c r="A16" s="113">
        <v>44130</v>
      </c>
      <c r="B16" s="123"/>
      <c r="C16" s="114" t="s">
        <v>1307</v>
      </c>
      <c r="D16" s="146">
        <v>181</v>
      </c>
      <c r="E16" s="146"/>
      <c r="F16" s="114"/>
      <c r="G16" s="118" t="s">
        <v>727</v>
      </c>
      <c r="H16" s="121" t="s">
        <v>883</v>
      </c>
    </row>
    <row r="17" spans="1:8" s="106" customFormat="1" ht="19" customHeight="1" x14ac:dyDescent="0.15">
      <c r="A17" s="113">
        <v>44135</v>
      </c>
      <c r="B17" s="114"/>
      <c r="C17" s="114" t="s">
        <v>56</v>
      </c>
      <c r="D17" s="146">
        <v>51</v>
      </c>
      <c r="E17" s="146"/>
      <c r="F17" s="114"/>
      <c r="G17" s="119" t="s">
        <v>88</v>
      </c>
      <c r="H17" s="121" t="s">
        <v>883</v>
      </c>
    </row>
    <row r="18" spans="1:8" s="106" customFormat="1" ht="19" customHeight="1" x14ac:dyDescent="0.15">
      <c r="A18" s="113">
        <v>44136</v>
      </c>
      <c r="B18" s="114"/>
      <c r="C18" s="114" t="s">
        <v>1301</v>
      </c>
      <c r="D18" s="146">
        <v>141</v>
      </c>
      <c r="E18" s="146"/>
      <c r="F18" s="114"/>
      <c r="G18" s="118" t="s">
        <v>727</v>
      </c>
      <c r="H18" s="121" t="s">
        <v>883</v>
      </c>
    </row>
    <row r="19" spans="1:8" s="106" customFormat="1" ht="19" customHeight="1" x14ac:dyDescent="0.15">
      <c r="A19" s="113">
        <v>44142</v>
      </c>
      <c r="B19" s="114"/>
      <c r="C19" s="114" t="s">
        <v>382</v>
      </c>
      <c r="D19" s="146">
        <v>113</v>
      </c>
      <c r="E19" s="146"/>
      <c r="F19" s="114"/>
      <c r="G19" s="118" t="s">
        <v>727</v>
      </c>
      <c r="H19" s="121" t="s">
        <v>883</v>
      </c>
    </row>
    <row r="20" spans="1:8" s="106" customFormat="1" ht="19" customHeight="1" x14ac:dyDescent="0.15">
      <c r="A20" s="113">
        <v>44143</v>
      </c>
      <c r="B20" s="114"/>
      <c r="C20" s="114" t="s">
        <v>1302</v>
      </c>
      <c r="D20" s="146">
        <v>220</v>
      </c>
      <c r="E20" s="146"/>
      <c r="F20" s="114"/>
      <c r="G20" s="118" t="s">
        <v>727</v>
      </c>
      <c r="H20" s="121" t="s">
        <v>883</v>
      </c>
    </row>
    <row r="21" spans="1:8" s="106" customFormat="1" ht="19" customHeight="1" x14ac:dyDescent="0.15">
      <c r="A21" s="113">
        <v>44144</v>
      </c>
      <c r="B21" s="114"/>
      <c r="C21" s="114" t="s">
        <v>382</v>
      </c>
      <c r="D21" s="146">
        <v>131</v>
      </c>
      <c r="E21" s="146"/>
      <c r="F21" s="114"/>
      <c r="G21" s="118" t="s">
        <v>727</v>
      </c>
      <c r="H21" s="121" t="s">
        <v>883</v>
      </c>
    </row>
    <row r="22" spans="1:8" s="106" customFormat="1" ht="19" customHeight="1" x14ac:dyDescent="0.15">
      <c r="A22" s="113">
        <v>44149</v>
      </c>
      <c r="B22" s="114"/>
      <c r="C22" s="114" t="s">
        <v>531</v>
      </c>
      <c r="D22" s="146">
        <v>264</v>
      </c>
      <c r="E22" s="146"/>
      <c r="F22" s="114"/>
      <c r="G22" s="118" t="s">
        <v>727</v>
      </c>
      <c r="H22" s="121" t="s">
        <v>883</v>
      </c>
    </row>
    <row r="23" spans="1:8" s="106" customFormat="1" ht="19" customHeight="1" x14ac:dyDescent="0.15">
      <c r="A23" s="113">
        <v>44151</v>
      </c>
      <c r="B23" s="114"/>
      <c r="C23" s="114" t="s">
        <v>531</v>
      </c>
      <c r="D23" s="146">
        <v>298</v>
      </c>
      <c r="E23" s="146"/>
      <c r="F23" s="114"/>
      <c r="G23" s="118" t="s">
        <v>727</v>
      </c>
      <c r="H23" s="121" t="s">
        <v>883</v>
      </c>
    </row>
    <row r="24" spans="1:8" s="106" customFormat="1" ht="19" customHeight="1" x14ac:dyDescent="0.15">
      <c r="A24" s="113">
        <v>44153</v>
      </c>
      <c r="B24" s="114"/>
      <c r="C24" s="114" t="s">
        <v>640</v>
      </c>
      <c r="D24" s="146">
        <v>230</v>
      </c>
      <c r="E24" s="146"/>
      <c r="F24" s="114" t="s">
        <v>1308</v>
      </c>
      <c r="G24" s="118" t="s">
        <v>88</v>
      </c>
      <c r="H24" s="121" t="s">
        <v>883</v>
      </c>
    </row>
    <row r="25" spans="1:8" s="106" customFormat="1" ht="19" customHeight="1" x14ac:dyDescent="0.15">
      <c r="A25" s="113">
        <v>44154</v>
      </c>
      <c r="B25" s="114"/>
      <c r="C25" s="114" t="s">
        <v>1304</v>
      </c>
      <c r="D25" s="146">
        <v>62</v>
      </c>
      <c r="E25" s="146"/>
      <c r="F25" s="114"/>
      <c r="G25" s="118" t="s">
        <v>88</v>
      </c>
      <c r="H25" s="121" t="s">
        <v>883</v>
      </c>
    </row>
    <row r="26" spans="1:8" s="106" customFormat="1" ht="19" customHeight="1" x14ac:dyDescent="0.15">
      <c r="A26" s="113">
        <v>44154</v>
      </c>
      <c r="B26" s="114"/>
      <c r="C26" s="114" t="s">
        <v>56</v>
      </c>
      <c r="D26" s="146">
        <v>52</v>
      </c>
      <c r="E26" s="146"/>
      <c r="F26" s="114"/>
      <c r="G26" s="118" t="s">
        <v>88</v>
      </c>
      <c r="H26" s="121" t="s">
        <v>883</v>
      </c>
    </row>
    <row r="27" spans="1:8" s="106" customFormat="1" ht="19" customHeight="1" x14ac:dyDescent="0.15">
      <c r="A27" s="113">
        <v>44156</v>
      </c>
      <c r="B27" s="114"/>
      <c r="C27" s="114" t="s">
        <v>324</v>
      </c>
      <c r="D27" s="146">
        <v>259</v>
      </c>
      <c r="E27" s="146"/>
      <c r="F27" s="114"/>
      <c r="G27" s="118" t="s">
        <v>727</v>
      </c>
      <c r="H27" s="121" t="s">
        <v>883</v>
      </c>
    </row>
    <row r="28" spans="1:8" s="106" customFormat="1" ht="19" customHeight="1" x14ac:dyDescent="0.15">
      <c r="A28" s="113">
        <v>44157</v>
      </c>
      <c r="B28" s="114"/>
      <c r="C28" s="114" t="s">
        <v>1303</v>
      </c>
      <c r="D28" s="146">
        <v>94</v>
      </c>
      <c r="E28" s="146"/>
      <c r="F28" s="114"/>
      <c r="G28" s="118" t="s">
        <v>727</v>
      </c>
      <c r="H28" s="121" t="s">
        <v>883</v>
      </c>
    </row>
    <row r="29" spans="1:8" s="106" customFormat="1" ht="19" customHeight="1" x14ac:dyDescent="0.15">
      <c r="A29" s="113">
        <v>44158</v>
      </c>
      <c r="B29" s="114"/>
      <c r="C29" s="114" t="s">
        <v>324</v>
      </c>
      <c r="D29" s="146">
        <v>334</v>
      </c>
      <c r="E29" s="146"/>
      <c r="F29" s="114"/>
      <c r="G29" s="118" t="s">
        <v>727</v>
      </c>
      <c r="H29" s="121" t="s">
        <v>883</v>
      </c>
    </row>
    <row r="30" spans="1:8" s="106" customFormat="1" ht="19" customHeight="1" x14ac:dyDescent="0.15">
      <c r="A30" s="113">
        <v>44166</v>
      </c>
      <c r="B30" s="114"/>
      <c r="C30" s="114" t="s">
        <v>484</v>
      </c>
      <c r="D30" s="146">
        <v>160</v>
      </c>
      <c r="E30" s="146"/>
      <c r="F30" s="114"/>
      <c r="G30" s="118" t="s">
        <v>727</v>
      </c>
      <c r="H30" s="121" t="s">
        <v>883</v>
      </c>
    </row>
    <row r="31" spans="1:8" s="106" customFormat="1" ht="19" customHeight="1" x14ac:dyDescent="0.15">
      <c r="A31" s="113">
        <v>44167</v>
      </c>
      <c r="B31" s="114"/>
      <c r="C31" s="114" t="s">
        <v>56</v>
      </c>
      <c r="D31" s="146">
        <v>62</v>
      </c>
      <c r="E31" s="146"/>
      <c r="F31" s="114"/>
      <c r="G31" s="119" t="s">
        <v>88</v>
      </c>
      <c r="H31" s="121" t="s">
        <v>883</v>
      </c>
    </row>
    <row r="32" spans="1:8" s="106" customFormat="1" ht="19" customHeight="1" x14ac:dyDescent="0.15">
      <c r="A32" s="113">
        <v>44168</v>
      </c>
      <c r="B32" s="114"/>
      <c r="C32" s="114" t="s">
        <v>56</v>
      </c>
      <c r="D32" s="146">
        <v>54</v>
      </c>
      <c r="E32" s="146"/>
      <c r="F32" s="114"/>
      <c r="G32" s="119" t="s">
        <v>88</v>
      </c>
      <c r="H32" s="121" t="s">
        <v>883</v>
      </c>
    </row>
    <row r="33" spans="1:8" s="106" customFormat="1" ht="19" customHeight="1" x14ac:dyDescent="0.15">
      <c r="A33" s="128"/>
      <c r="B33" s="129"/>
      <c r="C33" s="129"/>
      <c r="D33" s="148"/>
      <c r="E33" s="148"/>
      <c r="F33" s="129"/>
      <c r="G33" s="130"/>
      <c r="H33" s="131"/>
    </row>
    <row r="34" spans="1:8" s="106" customFormat="1" ht="19" customHeight="1" x14ac:dyDescent="0.15">
      <c r="A34" s="132" t="s">
        <v>680</v>
      </c>
      <c r="B34" s="133" t="s">
        <v>681</v>
      </c>
      <c r="C34" s="134" t="s">
        <v>229</v>
      </c>
      <c r="D34" s="149" t="s">
        <v>1311</v>
      </c>
      <c r="E34" s="149" t="s">
        <v>1310</v>
      </c>
      <c r="F34" s="134" t="s">
        <v>152</v>
      </c>
      <c r="G34" s="136" t="s">
        <v>86</v>
      </c>
      <c r="H34" s="137" t="s">
        <v>802</v>
      </c>
    </row>
    <row r="35" spans="1:8" s="106" customFormat="1" ht="19" customHeight="1" x14ac:dyDescent="0.15">
      <c r="A35" s="138">
        <v>44227</v>
      </c>
      <c r="B35" s="114"/>
      <c r="C35" s="114" t="s">
        <v>10</v>
      </c>
      <c r="D35" s="146">
        <v>69</v>
      </c>
      <c r="E35" s="146"/>
      <c r="F35" s="114"/>
      <c r="G35" s="119" t="s">
        <v>88</v>
      </c>
      <c r="H35" s="121" t="s">
        <v>883</v>
      </c>
    </row>
    <row r="36" spans="1:8" s="106" customFormat="1" ht="19" customHeight="1" x14ac:dyDescent="0.15">
      <c r="A36" s="138">
        <v>44238</v>
      </c>
      <c r="B36" s="114"/>
      <c r="C36" s="114" t="s">
        <v>56</v>
      </c>
      <c r="D36" s="146">
        <v>26</v>
      </c>
      <c r="E36" s="146"/>
      <c r="F36" s="114"/>
      <c r="G36" s="119" t="s">
        <v>88</v>
      </c>
      <c r="H36" s="121" t="s">
        <v>883</v>
      </c>
    </row>
    <row r="37" spans="1:8" s="106" customFormat="1" ht="19" customHeight="1" x14ac:dyDescent="0.15">
      <c r="A37" s="138">
        <v>44248</v>
      </c>
      <c r="B37" s="114"/>
      <c r="C37" s="114" t="s">
        <v>1309</v>
      </c>
      <c r="D37" s="146">
        <v>231</v>
      </c>
      <c r="E37" s="146">
        <v>38</v>
      </c>
      <c r="F37" s="114"/>
      <c r="G37" s="119" t="s">
        <v>727</v>
      </c>
      <c r="H37" s="121" t="s">
        <v>883</v>
      </c>
    </row>
    <row r="38" spans="1:8" s="106" customFormat="1" ht="19" customHeight="1" x14ac:dyDescent="0.15">
      <c r="A38" s="113">
        <v>44249</v>
      </c>
      <c r="B38" s="114"/>
      <c r="C38" s="114" t="s">
        <v>1182</v>
      </c>
      <c r="D38" s="146">
        <v>145</v>
      </c>
      <c r="E38" s="146">
        <v>14</v>
      </c>
      <c r="F38" s="114"/>
      <c r="G38" s="119" t="s">
        <v>727</v>
      </c>
      <c r="H38" s="121" t="s">
        <v>883</v>
      </c>
    </row>
    <row r="39" spans="1:8" s="106" customFormat="1" ht="19" customHeight="1" x14ac:dyDescent="0.15">
      <c r="A39" s="113">
        <v>44254</v>
      </c>
      <c r="B39" s="114"/>
      <c r="C39" s="114" t="s">
        <v>56</v>
      </c>
      <c r="D39" s="146">
        <v>30</v>
      </c>
      <c r="E39" s="146"/>
      <c r="F39" s="114"/>
      <c r="G39" s="119" t="s">
        <v>88</v>
      </c>
      <c r="H39" s="121" t="s">
        <v>883</v>
      </c>
    </row>
    <row r="40" spans="1:8" s="106" customFormat="1" ht="19" customHeight="1" x14ac:dyDescent="0.15">
      <c r="A40" s="113">
        <v>44256</v>
      </c>
      <c r="B40" s="114"/>
      <c r="C40" s="114" t="s">
        <v>1312</v>
      </c>
      <c r="D40" s="146">
        <v>197</v>
      </c>
      <c r="E40" s="146">
        <v>33</v>
      </c>
      <c r="F40" s="114"/>
      <c r="G40" s="119" t="s">
        <v>727</v>
      </c>
      <c r="H40" s="121" t="s">
        <v>883</v>
      </c>
    </row>
    <row r="41" spans="1:8" s="106" customFormat="1" ht="19" customHeight="1" x14ac:dyDescent="0.15">
      <c r="A41" s="113">
        <v>44259</v>
      </c>
      <c r="B41" s="114"/>
      <c r="C41" s="114" t="s">
        <v>1313</v>
      </c>
      <c r="D41" s="146">
        <v>199</v>
      </c>
      <c r="E41" s="146">
        <v>70</v>
      </c>
      <c r="F41" s="114" t="s">
        <v>1314</v>
      </c>
      <c r="G41" s="119" t="s">
        <v>727</v>
      </c>
      <c r="H41" s="121" t="s">
        <v>883</v>
      </c>
    </row>
    <row r="42" spans="1:8" s="106" customFormat="1" ht="19" customHeight="1" x14ac:dyDescent="0.15">
      <c r="A42" s="113">
        <v>44261</v>
      </c>
      <c r="B42" s="114"/>
      <c r="C42" s="114" t="s">
        <v>324</v>
      </c>
      <c r="D42" s="146">
        <v>218</v>
      </c>
      <c r="E42" s="146">
        <v>108</v>
      </c>
      <c r="F42" s="114"/>
      <c r="G42" s="118" t="s">
        <v>727</v>
      </c>
      <c r="H42" s="121" t="s">
        <v>883</v>
      </c>
    </row>
    <row r="43" spans="1:8" s="106" customFormat="1" ht="19" customHeight="1" x14ac:dyDescent="0.15">
      <c r="A43" s="113">
        <v>44263</v>
      </c>
      <c r="B43" s="114"/>
      <c r="C43" s="114" t="s">
        <v>324</v>
      </c>
      <c r="D43" s="146">
        <v>257</v>
      </c>
      <c r="E43" s="146">
        <v>59</v>
      </c>
      <c r="F43" s="114"/>
      <c r="G43" s="119" t="s">
        <v>727</v>
      </c>
      <c r="H43" s="121" t="s">
        <v>883</v>
      </c>
    </row>
    <row r="44" spans="1:8" s="106" customFormat="1" ht="19" customHeight="1" x14ac:dyDescent="0.15">
      <c r="A44" s="113">
        <v>44265</v>
      </c>
      <c r="B44" s="114"/>
      <c r="C44" s="114" t="s">
        <v>413</v>
      </c>
      <c r="D44" s="146">
        <v>251</v>
      </c>
      <c r="E44" s="146">
        <v>122</v>
      </c>
      <c r="F44" s="114" t="s">
        <v>1324</v>
      </c>
      <c r="G44" s="119" t="s">
        <v>88</v>
      </c>
      <c r="H44" s="121" t="s">
        <v>883</v>
      </c>
    </row>
    <row r="45" spans="1:8" s="106" customFormat="1" ht="19" customHeight="1" x14ac:dyDescent="0.15">
      <c r="A45" s="113">
        <v>44266</v>
      </c>
      <c r="B45" s="114"/>
      <c r="C45" s="114" t="s">
        <v>1325</v>
      </c>
      <c r="D45" s="146">
        <v>57</v>
      </c>
      <c r="E45" s="146">
        <v>24</v>
      </c>
      <c r="F45" s="114"/>
      <c r="G45" s="119" t="s">
        <v>88</v>
      </c>
      <c r="H45" s="121" t="s">
        <v>883</v>
      </c>
    </row>
    <row r="46" spans="1:8" s="106" customFormat="1" ht="19" customHeight="1" x14ac:dyDescent="0.15">
      <c r="A46" s="113">
        <v>44289</v>
      </c>
      <c r="B46" s="114"/>
      <c r="C46" s="114" t="s">
        <v>1315</v>
      </c>
      <c r="D46" s="146">
        <v>81</v>
      </c>
      <c r="E46" s="146">
        <v>19</v>
      </c>
      <c r="F46" s="114"/>
      <c r="G46" s="119" t="s">
        <v>727</v>
      </c>
      <c r="H46" s="121" t="s">
        <v>883</v>
      </c>
    </row>
    <row r="47" spans="1:8" s="106" customFormat="1" ht="19" customHeight="1" x14ac:dyDescent="0.15">
      <c r="A47" s="113">
        <v>44291</v>
      </c>
      <c r="B47" s="114"/>
      <c r="C47" s="114" t="s">
        <v>1316</v>
      </c>
      <c r="D47" s="146">
        <v>148</v>
      </c>
      <c r="E47" s="146">
        <v>22</v>
      </c>
      <c r="F47" s="114"/>
      <c r="G47" s="119" t="s">
        <v>727</v>
      </c>
      <c r="H47" s="121" t="s">
        <v>883</v>
      </c>
    </row>
    <row r="48" spans="1:8" s="106" customFormat="1" ht="19" customHeight="1" x14ac:dyDescent="0.15">
      <c r="A48" s="113">
        <v>44296</v>
      </c>
      <c r="B48" s="114"/>
      <c r="C48" s="114" t="s">
        <v>56</v>
      </c>
      <c r="D48" s="146">
        <v>76</v>
      </c>
      <c r="E48" s="146">
        <v>45</v>
      </c>
      <c r="F48" s="114"/>
      <c r="G48" s="119" t="s">
        <v>88</v>
      </c>
      <c r="H48" s="121" t="s">
        <v>883</v>
      </c>
    </row>
    <row r="49" spans="1:8" s="106" customFormat="1" ht="19" customHeight="1" x14ac:dyDescent="0.15">
      <c r="A49" s="113">
        <v>44301</v>
      </c>
      <c r="B49" s="114"/>
      <c r="C49" s="114" t="s">
        <v>1326</v>
      </c>
      <c r="D49" s="146">
        <v>10</v>
      </c>
      <c r="E49" s="146">
        <v>6</v>
      </c>
      <c r="F49" s="114"/>
      <c r="G49" s="119" t="s">
        <v>88</v>
      </c>
      <c r="H49" s="121" t="s">
        <v>883</v>
      </c>
    </row>
    <row r="50" spans="1:8" s="106" customFormat="1" ht="19" customHeight="1" x14ac:dyDescent="0.15">
      <c r="A50" s="113">
        <v>44303</v>
      </c>
      <c r="B50" s="114"/>
      <c r="C50" s="114" t="s">
        <v>1317</v>
      </c>
      <c r="D50" s="146">
        <v>435</v>
      </c>
      <c r="E50" s="146">
        <v>129</v>
      </c>
      <c r="F50" s="121" t="s">
        <v>1318</v>
      </c>
      <c r="G50" s="119" t="s">
        <v>727</v>
      </c>
      <c r="H50" s="121" t="s">
        <v>883</v>
      </c>
    </row>
    <row r="51" spans="1:8" s="106" customFormat="1" ht="19" customHeight="1" x14ac:dyDescent="0.15">
      <c r="A51" s="113">
        <v>44305</v>
      </c>
      <c r="B51" s="114"/>
      <c r="C51" s="114" t="s">
        <v>1317</v>
      </c>
      <c r="D51" s="146">
        <v>468</v>
      </c>
      <c r="E51" s="146">
        <v>105</v>
      </c>
      <c r="F51" s="121" t="s">
        <v>1318</v>
      </c>
      <c r="G51" s="119" t="s">
        <v>727</v>
      </c>
      <c r="H51" s="121" t="s">
        <v>883</v>
      </c>
    </row>
    <row r="52" spans="1:8" s="106" customFormat="1" ht="19" customHeight="1" x14ac:dyDescent="0.15">
      <c r="A52" s="113">
        <v>44308</v>
      </c>
      <c r="B52" s="114"/>
      <c r="C52" s="114" t="s">
        <v>1327</v>
      </c>
      <c r="D52" s="146">
        <v>42</v>
      </c>
      <c r="E52" s="146">
        <v>23</v>
      </c>
      <c r="F52" s="121"/>
      <c r="G52" s="119" t="s">
        <v>88</v>
      </c>
      <c r="H52" s="121" t="s">
        <v>883</v>
      </c>
    </row>
    <row r="53" spans="1:8" s="106" customFormat="1" ht="19" customHeight="1" x14ac:dyDescent="0.15">
      <c r="A53" s="113">
        <v>44310</v>
      </c>
      <c r="B53" s="114"/>
      <c r="C53" s="114" t="s">
        <v>382</v>
      </c>
      <c r="D53" s="146">
        <v>129</v>
      </c>
      <c r="E53" s="146">
        <v>66</v>
      </c>
      <c r="F53" s="114"/>
      <c r="G53" s="119" t="s">
        <v>727</v>
      </c>
      <c r="H53" s="121" t="s">
        <v>883</v>
      </c>
    </row>
    <row r="54" spans="1:8" s="106" customFormat="1" ht="19" customHeight="1" x14ac:dyDescent="0.15">
      <c r="A54" s="113">
        <v>44312</v>
      </c>
      <c r="B54" s="114"/>
      <c r="C54" s="114" t="s">
        <v>382</v>
      </c>
      <c r="D54" s="146">
        <v>169</v>
      </c>
      <c r="E54" s="146">
        <v>38</v>
      </c>
      <c r="F54" s="114"/>
      <c r="G54" s="119" t="s">
        <v>727</v>
      </c>
      <c r="H54" s="121" t="s">
        <v>883</v>
      </c>
    </row>
    <row r="55" spans="1:8" s="106" customFormat="1" ht="19" customHeight="1" x14ac:dyDescent="0.15">
      <c r="A55" s="113">
        <v>44313</v>
      </c>
      <c r="B55" s="114"/>
      <c r="C55" s="114" t="s">
        <v>532</v>
      </c>
      <c r="D55" s="146">
        <v>126</v>
      </c>
      <c r="E55" s="146">
        <v>46</v>
      </c>
      <c r="F55" s="114"/>
      <c r="G55" s="119" t="s">
        <v>88</v>
      </c>
      <c r="H55" s="121" t="s">
        <v>883</v>
      </c>
    </row>
    <row r="56" spans="1:8" s="106" customFormat="1" ht="19" customHeight="1" x14ac:dyDescent="0.15">
      <c r="A56" s="113">
        <v>44315</v>
      </c>
      <c r="B56" s="114"/>
      <c r="C56" s="114" t="s">
        <v>56</v>
      </c>
      <c r="D56" s="146">
        <v>47</v>
      </c>
      <c r="E56" s="146">
        <v>26</v>
      </c>
      <c r="F56" s="114"/>
      <c r="G56" s="119" t="s">
        <v>88</v>
      </c>
      <c r="H56" s="121" t="s">
        <v>883</v>
      </c>
    </row>
    <row r="57" spans="1:8" s="106" customFormat="1" ht="19" customHeight="1" x14ac:dyDescent="0.15">
      <c r="A57" s="113">
        <v>44316</v>
      </c>
      <c r="B57" s="114"/>
      <c r="C57" s="114" t="s">
        <v>479</v>
      </c>
      <c r="D57" s="146">
        <v>175</v>
      </c>
      <c r="E57" s="146">
        <v>86</v>
      </c>
      <c r="F57" s="114"/>
      <c r="G57" s="119" t="s">
        <v>727</v>
      </c>
      <c r="H57" s="121" t="s">
        <v>883</v>
      </c>
    </row>
    <row r="58" spans="1:8" s="106" customFormat="1" ht="19" customHeight="1" x14ac:dyDescent="0.15">
      <c r="A58" s="113">
        <v>44317</v>
      </c>
      <c r="B58" s="114"/>
      <c r="C58" s="114" t="s">
        <v>413</v>
      </c>
      <c r="D58" s="146">
        <v>451</v>
      </c>
      <c r="E58" s="146">
        <v>143</v>
      </c>
      <c r="F58" s="114"/>
      <c r="G58" s="119" t="s">
        <v>727</v>
      </c>
      <c r="H58" s="121" t="s">
        <v>883</v>
      </c>
    </row>
    <row r="59" spans="1:8" s="106" customFormat="1" ht="19" customHeight="1" x14ac:dyDescent="0.15">
      <c r="A59" s="113">
        <v>44318</v>
      </c>
      <c r="B59" s="114"/>
      <c r="C59" s="114" t="s">
        <v>479</v>
      </c>
      <c r="D59" s="146">
        <v>468</v>
      </c>
      <c r="E59" s="146">
        <v>32</v>
      </c>
      <c r="F59" s="121" t="s">
        <v>1319</v>
      </c>
      <c r="G59" s="119" t="s">
        <v>727</v>
      </c>
      <c r="H59" s="121" t="s">
        <v>1320</v>
      </c>
    </row>
    <row r="60" spans="1:8" s="106" customFormat="1" ht="19" customHeight="1" x14ac:dyDescent="0.15">
      <c r="A60" s="113">
        <v>44318</v>
      </c>
      <c r="B60" s="114"/>
      <c r="C60" s="114" t="s">
        <v>1321</v>
      </c>
      <c r="D60" s="146">
        <v>184</v>
      </c>
      <c r="E60" s="146">
        <v>1</v>
      </c>
      <c r="F60" s="114" t="s">
        <v>1322</v>
      </c>
      <c r="G60" s="119" t="s">
        <v>727</v>
      </c>
      <c r="H60" s="121" t="s">
        <v>883</v>
      </c>
    </row>
    <row r="61" spans="1:8" s="106" customFormat="1" ht="19" customHeight="1" x14ac:dyDescent="0.15">
      <c r="A61" s="113">
        <v>44320</v>
      </c>
      <c r="B61" s="114"/>
      <c r="C61" s="114" t="s">
        <v>484</v>
      </c>
      <c r="D61" s="146">
        <v>146</v>
      </c>
      <c r="E61" s="146">
        <v>61</v>
      </c>
      <c r="F61" s="114"/>
      <c r="G61" s="119" t="s">
        <v>727</v>
      </c>
      <c r="H61" s="121" t="s">
        <v>883</v>
      </c>
    </row>
    <row r="62" spans="1:8" s="106" customFormat="1" ht="19" customHeight="1" x14ac:dyDescent="0.15">
      <c r="A62" s="113">
        <v>44321</v>
      </c>
      <c r="B62" s="114"/>
      <c r="C62" s="114" t="s">
        <v>56</v>
      </c>
      <c r="D62" s="146">
        <v>65</v>
      </c>
      <c r="E62" s="146">
        <v>38</v>
      </c>
      <c r="F62" s="114"/>
      <c r="G62" s="119" t="s">
        <v>88</v>
      </c>
      <c r="H62" s="121" t="s">
        <v>883</v>
      </c>
    </row>
    <row r="63" spans="1:8" s="106" customFormat="1" ht="19" customHeight="1" x14ac:dyDescent="0.15">
      <c r="A63" s="113">
        <v>44322</v>
      </c>
      <c r="B63" s="114"/>
      <c r="C63" s="114" t="s">
        <v>56</v>
      </c>
      <c r="D63" s="146">
        <v>51</v>
      </c>
      <c r="E63" s="146">
        <v>31</v>
      </c>
      <c r="F63" s="114"/>
      <c r="G63" s="119" t="s">
        <v>88</v>
      </c>
      <c r="H63" s="121" t="s">
        <v>883</v>
      </c>
    </row>
    <row r="64" spans="1:8" s="106" customFormat="1" ht="19" customHeight="1" x14ac:dyDescent="0.15">
      <c r="A64" s="113">
        <v>44332</v>
      </c>
      <c r="B64" s="114"/>
      <c r="C64" s="114" t="s">
        <v>1323</v>
      </c>
      <c r="D64" s="146">
        <v>111</v>
      </c>
      <c r="E64" s="146">
        <v>29</v>
      </c>
      <c r="F64" s="114"/>
      <c r="G64" s="119" t="s">
        <v>727</v>
      </c>
      <c r="H64" s="121" t="s">
        <v>883</v>
      </c>
    </row>
    <row r="65" spans="1:7" s="106" customFormat="1" ht="19" customHeight="1" x14ac:dyDescent="0.15">
      <c r="A65" s="115"/>
      <c r="B65" s="116"/>
      <c r="C65" s="116"/>
      <c r="D65" s="151"/>
      <c r="E65" s="151"/>
      <c r="F65" s="116"/>
      <c r="G65" s="116"/>
    </row>
    <row r="66" spans="1:7" s="106" customFormat="1" ht="19" customHeight="1" x14ac:dyDescent="0.15">
      <c r="A66" s="115" t="s">
        <v>1276</v>
      </c>
      <c r="B66" s="143" t="s">
        <v>1328</v>
      </c>
      <c r="C66" s="116">
        <v>44</v>
      </c>
      <c r="D66" s="151"/>
      <c r="E66" s="151"/>
      <c r="F66" s="116"/>
      <c r="G66" s="116"/>
    </row>
    <row r="67" spans="1:7" s="106" customFormat="1" ht="19" customHeight="1" x14ac:dyDescent="0.15">
      <c r="A67" s="115"/>
      <c r="B67" s="116" t="s">
        <v>1329</v>
      </c>
      <c r="C67" s="116">
        <v>62</v>
      </c>
      <c r="D67" s="151"/>
      <c r="E67" s="151"/>
      <c r="F67" s="116"/>
      <c r="G67" s="116"/>
    </row>
    <row r="68" spans="1:7" s="106" customFormat="1" ht="19" customHeight="1" x14ac:dyDescent="0.15">
      <c r="A68" s="115"/>
      <c r="B68" s="142" t="s">
        <v>1330</v>
      </c>
      <c r="C68" s="116">
        <v>66</v>
      </c>
      <c r="D68" s="151"/>
      <c r="E68" s="151"/>
      <c r="F68" s="116"/>
      <c r="G68" s="116"/>
    </row>
    <row r="69" spans="1:7" s="106" customFormat="1" ht="19" customHeight="1" x14ac:dyDescent="0.15">
      <c r="A69" s="115"/>
      <c r="B69" s="116" t="s">
        <v>1331</v>
      </c>
      <c r="C69" s="116">
        <v>100</v>
      </c>
      <c r="D69" s="151"/>
      <c r="E69" s="151"/>
      <c r="F69" s="116"/>
      <c r="G69" s="116"/>
    </row>
    <row r="70" spans="1:7" s="106" customFormat="1" ht="19" customHeight="1" x14ac:dyDescent="0.15">
      <c r="A70" s="115"/>
      <c r="B70" s="116"/>
      <c r="C70" s="116"/>
      <c r="D70" s="151"/>
      <c r="E70" s="151"/>
      <c r="F70" s="116"/>
      <c r="G70" s="116"/>
    </row>
    <row r="71" spans="1:7" s="106" customFormat="1" ht="19" customHeight="1" x14ac:dyDescent="0.15">
      <c r="A71" s="115"/>
      <c r="B71" s="116"/>
      <c r="C71" s="116"/>
      <c r="D71" s="151"/>
      <c r="E71" s="151"/>
      <c r="F71" s="116"/>
      <c r="G71" s="116"/>
    </row>
    <row r="72" spans="1:7" s="106" customFormat="1" ht="19" customHeight="1" x14ac:dyDescent="0.15">
      <c r="A72" s="115"/>
      <c r="B72" s="116"/>
      <c r="C72" s="116"/>
      <c r="D72" s="151"/>
      <c r="E72" s="151"/>
      <c r="F72" s="116"/>
      <c r="G72" s="116"/>
    </row>
    <row r="73" spans="1:7" s="106" customFormat="1" ht="19" customHeight="1" x14ac:dyDescent="0.15">
      <c r="A73" s="115"/>
      <c r="B73" s="116"/>
      <c r="C73" s="116"/>
      <c r="D73" s="151"/>
      <c r="E73" s="151"/>
      <c r="F73" s="116"/>
      <c r="G73" s="116"/>
    </row>
    <row r="74" spans="1:7" s="106" customFormat="1" ht="19" customHeight="1" x14ac:dyDescent="0.15">
      <c r="A74" s="115"/>
      <c r="B74" s="116"/>
      <c r="C74" s="116"/>
      <c r="D74" s="151"/>
      <c r="E74" s="151"/>
      <c r="F74" s="116"/>
      <c r="G74" s="116"/>
    </row>
    <row r="75" spans="1:7" s="106" customFormat="1" ht="19" customHeight="1" x14ac:dyDescent="0.15">
      <c r="A75" s="115"/>
      <c r="B75" s="116"/>
      <c r="C75" s="116"/>
      <c r="D75" s="151"/>
      <c r="E75" s="151"/>
      <c r="F75" s="116"/>
      <c r="G75" s="116"/>
    </row>
    <row r="76" spans="1:7" s="106" customFormat="1" ht="19" customHeight="1" x14ac:dyDescent="0.15">
      <c r="A76" s="115"/>
      <c r="B76" s="116"/>
      <c r="C76" s="116"/>
      <c r="D76" s="151"/>
      <c r="E76" s="151"/>
      <c r="F76" s="116"/>
      <c r="G76" s="116"/>
    </row>
    <row r="77" spans="1:7" s="106" customFormat="1" ht="19" customHeight="1" x14ac:dyDescent="0.15">
      <c r="A77" s="115"/>
      <c r="B77" s="116"/>
      <c r="C77" s="116"/>
      <c r="D77" s="151"/>
      <c r="E77" s="151"/>
      <c r="F77" s="116"/>
      <c r="G77" s="116"/>
    </row>
    <row r="78" spans="1:7" s="106" customFormat="1" ht="19" customHeight="1" x14ac:dyDescent="0.15">
      <c r="A78" s="115"/>
      <c r="B78" s="116"/>
      <c r="C78" s="116"/>
      <c r="D78" s="151"/>
      <c r="E78" s="151"/>
      <c r="F78" s="116"/>
      <c r="G78" s="116"/>
    </row>
    <row r="79" spans="1:7" s="106" customFormat="1" ht="19" customHeight="1" x14ac:dyDescent="0.15">
      <c r="A79" s="115"/>
      <c r="B79" s="116"/>
      <c r="C79" s="116"/>
      <c r="D79" s="151"/>
      <c r="E79" s="151"/>
      <c r="F79" s="116"/>
      <c r="G79" s="116"/>
    </row>
    <row r="80" spans="1:7" s="106" customFormat="1" ht="19" customHeight="1" x14ac:dyDescent="0.15">
      <c r="A80" s="115"/>
      <c r="B80" s="116"/>
      <c r="C80" s="116"/>
      <c r="D80" s="151"/>
      <c r="E80" s="151"/>
      <c r="F80" s="116"/>
      <c r="G80" s="116"/>
    </row>
    <row r="81" spans="1:7" s="106" customFormat="1" ht="19" customHeight="1" x14ac:dyDescent="0.15">
      <c r="A81" s="115"/>
      <c r="B81" s="116"/>
      <c r="C81" s="116"/>
      <c r="D81" s="151"/>
      <c r="E81" s="151"/>
      <c r="F81" s="116"/>
      <c r="G81" s="116"/>
    </row>
    <row r="82" spans="1:7" s="106" customFormat="1" ht="19" customHeight="1" x14ac:dyDescent="0.15">
      <c r="A82" s="115"/>
      <c r="B82" s="116"/>
      <c r="C82" s="116"/>
      <c r="D82" s="151"/>
      <c r="E82" s="151"/>
      <c r="F82" s="116"/>
      <c r="G82" s="116"/>
    </row>
    <row r="83" spans="1:7" s="106" customFormat="1" ht="19" customHeight="1" x14ac:dyDescent="0.15">
      <c r="A83" s="115"/>
      <c r="B83" s="116"/>
      <c r="C83" s="116"/>
      <c r="D83" s="151"/>
      <c r="E83" s="151"/>
      <c r="F83" s="116"/>
      <c r="G83" s="116"/>
    </row>
    <row r="84" spans="1:7" s="106" customFormat="1" ht="19" customHeight="1" x14ac:dyDescent="0.15">
      <c r="A84" s="116"/>
      <c r="B84" s="116"/>
      <c r="C84" s="116"/>
      <c r="D84" s="151"/>
      <c r="E84" s="151"/>
      <c r="F84" s="116"/>
      <c r="G84" s="116"/>
    </row>
    <row r="85" spans="1:7" s="106" customFormat="1" ht="19" customHeight="1" x14ac:dyDescent="0.15">
      <c r="A85" s="116"/>
      <c r="B85" s="116"/>
      <c r="C85" s="116"/>
      <c r="D85" s="151"/>
      <c r="E85" s="151"/>
      <c r="F85" s="116"/>
      <c r="G85" s="116"/>
    </row>
    <row r="86" spans="1:7" s="106" customFormat="1" ht="19" customHeight="1" x14ac:dyDescent="0.15">
      <c r="A86" s="116"/>
      <c r="B86" s="116"/>
      <c r="C86" s="116"/>
      <c r="D86" s="151"/>
      <c r="E86" s="151"/>
      <c r="F86" s="116"/>
      <c r="G86" s="116"/>
    </row>
    <row r="87" spans="1:7" s="106" customFormat="1" ht="19" customHeight="1" x14ac:dyDescent="0.15">
      <c r="A87" s="116"/>
      <c r="B87" s="116"/>
      <c r="C87" s="116"/>
      <c r="D87" s="151"/>
      <c r="E87" s="151"/>
      <c r="F87" s="116"/>
      <c r="G87" s="116"/>
    </row>
    <row r="88" spans="1:7" s="106" customFormat="1" ht="19" customHeight="1" x14ac:dyDescent="0.15">
      <c r="A88" s="116"/>
      <c r="B88" s="116"/>
      <c r="C88" s="116"/>
      <c r="D88" s="151"/>
      <c r="E88" s="151"/>
      <c r="F88" s="116"/>
      <c r="G88" s="116"/>
    </row>
    <row r="89" spans="1:7" s="106" customFormat="1" ht="19" customHeight="1" x14ac:dyDescent="0.15">
      <c r="A89" s="116"/>
      <c r="B89" s="116"/>
      <c r="C89" s="116"/>
      <c r="D89" s="151"/>
      <c r="E89" s="151"/>
      <c r="F89" s="116"/>
      <c r="G89" s="116"/>
    </row>
    <row r="90" spans="1:7" s="106" customFormat="1" ht="19" customHeight="1" x14ac:dyDescent="0.15">
      <c r="A90" s="116"/>
      <c r="B90" s="116"/>
      <c r="C90" s="116"/>
      <c r="D90" s="151"/>
      <c r="E90" s="151"/>
      <c r="F90" s="116"/>
      <c r="G90" s="116"/>
    </row>
    <row r="91" spans="1:7" s="106" customFormat="1" ht="19" customHeight="1" x14ac:dyDescent="0.15">
      <c r="A91" s="116"/>
      <c r="B91" s="116"/>
      <c r="C91" s="116"/>
      <c r="D91" s="151"/>
      <c r="E91" s="151"/>
      <c r="F91" s="116"/>
      <c r="G91" s="116"/>
    </row>
    <row r="92" spans="1:7" s="106" customFormat="1" ht="19" customHeight="1" x14ac:dyDescent="0.15">
      <c r="A92" s="116"/>
      <c r="B92" s="116"/>
      <c r="C92" s="116"/>
      <c r="D92" s="151"/>
      <c r="E92" s="151"/>
      <c r="F92" s="116"/>
      <c r="G92" s="116"/>
    </row>
    <row r="93" spans="1:7" s="106" customFormat="1" ht="19" customHeight="1" x14ac:dyDescent="0.15">
      <c r="A93" s="116"/>
      <c r="B93" s="116"/>
      <c r="C93" s="116"/>
      <c r="D93" s="151"/>
      <c r="E93" s="151"/>
      <c r="F93" s="116"/>
      <c r="G93" s="116"/>
    </row>
    <row r="94" spans="1:7" s="106" customFormat="1" ht="19" customHeight="1" x14ac:dyDescent="0.15">
      <c r="A94" s="116"/>
      <c r="B94" s="116"/>
      <c r="C94" s="116"/>
      <c r="D94" s="151"/>
      <c r="E94" s="151"/>
      <c r="F94" s="116"/>
      <c r="G94" s="116"/>
    </row>
    <row r="95" spans="1:7" s="106" customFormat="1" ht="19" customHeight="1" x14ac:dyDescent="0.15">
      <c r="A95" s="116"/>
      <c r="B95" s="116"/>
      <c r="C95" s="116"/>
      <c r="D95" s="151"/>
      <c r="E95" s="151"/>
      <c r="F95" s="116"/>
      <c r="G95" s="116"/>
    </row>
    <row r="96" spans="1:7" s="106" customFormat="1" ht="19" customHeight="1" x14ac:dyDescent="0.15">
      <c r="A96" s="116"/>
      <c r="B96" s="116"/>
      <c r="C96" s="116"/>
      <c r="D96" s="151"/>
      <c r="E96" s="151"/>
      <c r="F96" s="116"/>
      <c r="G96" s="116"/>
    </row>
    <row r="97" spans="1:7" s="106" customFormat="1" ht="19" customHeight="1" x14ac:dyDescent="0.15">
      <c r="A97" s="116"/>
      <c r="B97" s="116"/>
      <c r="C97" s="116"/>
      <c r="D97" s="151"/>
      <c r="E97" s="151"/>
      <c r="F97" s="116"/>
      <c r="G97" s="116"/>
    </row>
    <row r="98" spans="1:7" s="106" customFormat="1" ht="19" customHeight="1" x14ac:dyDescent="0.15">
      <c r="A98" s="116"/>
      <c r="B98" s="116"/>
      <c r="C98" s="116"/>
      <c r="D98" s="151"/>
      <c r="E98" s="151"/>
      <c r="F98" s="116"/>
      <c r="G98" s="116"/>
    </row>
    <row r="99" spans="1:7" s="106" customFormat="1" ht="19" customHeight="1" x14ac:dyDescent="0.15">
      <c r="A99" s="116"/>
      <c r="B99" s="116"/>
      <c r="C99" s="116"/>
      <c r="D99" s="151"/>
      <c r="E99" s="151"/>
      <c r="F99" s="116"/>
      <c r="G99" s="116"/>
    </row>
    <row r="100" spans="1:7" s="106" customFormat="1" ht="19" customHeight="1" x14ac:dyDescent="0.15">
      <c r="A100" s="116"/>
      <c r="B100" s="116"/>
      <c r="C100" s="116"/>
      <c r="D100" s="151"/>
      <c r="E100" s="151"/>
      <c r="F100" s="116"/>
      <c r="G100" s="116"/>
    </row>
    <row r="101" spans="1:7" s="106" customFormat="1" ht="19" customHeight="1" x14ac:dyDescent="0.15">
      <c r="A101" s="116"/>
      <c r="B101" s="116"/>
      <c r="C101" s="116"/>
      <c r="D101" s="151"/>
      <c r="E101" s="151"/>
      <c r="F101" s="116"/>
      <c r="G101" s="116"/>
    </row>
    <row r="102" spans="1:7" s="106" customFormat="1" ht="19" customHeight="1" x14ac:dyDescent="0.15">
      <c r="A102" s="116"/>
      <c r="B102" s="116"/>
      <c r="C102" s="116"/>
      <c r="D102" s="151"/>
      <c r="E102" s="151"/>
      <c r="F102" s="116"/>
      <c r="G102" s="116"/>
    </row>
  </sheetData>
  <autoFilter ref="A1:H64" xr:uid="{71AB4C71-2116-074B-9EBC-8B8F0973285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28CC-2FF6-6349-9C48-C5BF7DEB9DDD}">
  <sheetPr codeName="Sheet2"/>
  <dimension ref="A1:G101"/>
  <sheetViews>
    <sheetView zoomScale="116" zoomScaleNormal="116" workbookViewId="0">
      <selection activeCell="F1" sqref="F1"/>
    </sheetView>
  </sheetViews>
  <sheetFormatPr baseColWidth="10" defaultRowHeight="19" customHeight="1" x14ac:dyDescent="0.15"/>
  <cols>
    <col min="1" max="1" width="11.6640625" style="122" customWidth="1"/>
    <col min="2" max="2" width="13" style="122" customWidth="1"/>
    <col min="3" max="3" width="23.1640625" style="122" customWidth="1"/>
    <col min="4" max="4" width="11.1640625" style="152" customWidth="1"/>
    <col min="5" max="5" width="26.5" style="122" customWidth="1"/>
    <col min="6" max="6" width="23.6640625" style="122" customWidth="1"/>
    <col min="7" max="7" width="33" style="48" customWidth="1"/>
    <col min="8" max="16384" width="10.83203125" style="48"/>
  </cols>
  <sheetData>
    <row r="1" spans="1:7" s="106" customFormat="1" ht="19" customHeight="1" x14ac:dyDescent="0.15">
      <c r="A1" s="107" t="s">
        <v>680</v>
      </c>
      <c r="B1" s="108" t="s">
        <v>681</v>
      </c>
      <c r="C1" s="109" t="s">
        <v>229</v>
      </c>
      <c r="D1" s="144" t="s">
        <v>230</v>
      </c>
      <c r="E1" s="109" t="s">
        <v>152</v>
      </c>
      <c r="F1" s="117" t="s">
        <v>86</v>
      </c>
      <c r="G1" s="120" t="s">
        <v>802</v>
      </c>
    </row>
    <row r="2" spans="1:7" s="106" customFormat="1" ht="19" customHeight="1" x14ac:dyDescent="0.15">
      <c r="A2" s="111">
        <v>43717</v>
      </c>
      <c r="B2" s="112" t="s">
        <v>574</v>
      </c>
      <c r="C2" s="112" t="s">
        <v>250</v>
      </c>
      <c r="D2" s="145">
        <v>149</v>
      </c>
      <c r="E2" s="112"/>
      <c r="F2" s="118" t="s">
        <v>727</v>
      </c>
      <c r="G2" s="121" t="s">
        <v>883</v>
      </c>
    </row>
    <row r="3" spans="1:7" s="106" customFormat="1" ht="19" customHeight="1" x14ac:dyDescent="0.15">
      <c r="A3" s="113">
        <v>43724</v>
      </c>
      <c r="B3" s="114" t="s">
        <v>574</v>
      </c>
      <c r="C3" s="114" t="s">
        <v>1182</v>
      </c>
      <c r="D3" s="146">
        <v>140</v>
      </c>
      <c r="E3" s="114"/>
      <c r="F3" s="118" t="s">
        <v>727</v>
      </c>
      <c r="G3" s="121" t="s">
        <v>883</v>
      </c>
    </row>
    <row r="4" spans="1:7" s="106" customFormat="1" ht="19" customHeight="1" x14ac:dyDescent="0.15">
      <c r="A4" s="113">
        <v>43366</v>
      </c>
      <c r="B4" s="114" t="s">
        <v>574</v>
      </c>
      <c r="C4" s="114" t="s">
        <v>1243</v>
      </c>
      <c r="D4" s="146">
        <v>185</v>
      </c>
      <c r="E4" s="114"/>
      <c r="F4" s="118" t="s">
        <v>727</v>
      </c>
      <c r="G4" s="121" t="s">
        <v>883</v>
      </c>
    </row>
    <row r="5" spans="1:7" s="106" customFormat="1" ht="19" customHeight="1" x14ac:dyDescent="0.15">
      <c r="A5" s="113">
        <v>43737</v>
      </c>
      <c r="B5" s="114" t="s">
        <v>576</v>
      </c>
      <c r="C5" s="114" t="s">
        <v>1244</v>
      </c>
      <c r="D5" s="146">
        <v>293</v>
      </c>
      <c r="E5" s="114"/>
      <c r="F5" s="118" t="s">
        <v>727</v>
      </c>
      <c r="G5" s="121" t="s">
        <v>883</v>
      </c>
    </row>
    <row r="6" spans="1:7" s="106" customFormat="1" ht="19" customHeight="1" x14ac:dyDescent="0.15">
      <c r="A6" s="113">
        <v>43742</v>
      </c>
      <c r="B6" s="114" t="s">
        <v>576</v>
      </c>
      <c r="C6" s="114" t="s">
        <v>324</v>
      </c>
      <c r="D6" s="146">
        <v>265</v>
      </c>
      <c r="E6" s="114"/>
      <c r="F6" s="118" t="s">
        <v>727</v>
      </c>
      <c r="G6" s="121" t="s">
        <v>883</v>
      </c>
    </row>
    <row r="7" spans="1:7" s="106" customFormat="1" ht="19" customHeight="1" x14ac:dyDescent="0.15">
      <c r="A7" s="113">
        <v>43745</v>
      </c>
      <c r="B7" s="114" t="s">
        <v>574</v>
      </c>
      <c r="C7" s="114" t="s">
        <v>324</v>
      </c>
      <c r="D7" s="146">
        <v>238</v>
      </c>
      <c r="E7" s="114"/>
      <c r="F7" s="118" t="s">
        <v>727</v>
      </c>
      <c r="G7" s="121" t="s">
        <v>883</v>
      </c>
    </row>
    <row r="8" spans="1:7" s="106" customFormat="1" ht="19" customHeight="1" x14ac:dyDescent="0.15">
      <c r="A8" s="113">
        <v>43748</v>
      </c>
      <c r="B8" s="114" t="s">
        <v>1096</v>
      </c>
      <c r="C8" s="114" t="s">
        <v>56</v>
      </c>
      <c r="D8" s="147">
        <v>9</v>
      </c>
      <c r="E8" s="114"/>
      <c r="F8" s="119" t="s">
        <v>88</v>
      </c>
      <c r="G8" s="121" t="s">
        <v>883</v>
      </c>
    </row>
    <row r="9" spans="1:7" s="106" customFormat="1" ht="19" customHeight="1" x14ac:dyDescent="0.15">
      <c r="A9" s="113">
        <v>43757</v>
      </c>
      <c r="B9" s="114" t="s">
        <v>576</v>
      </c>
      <c r="C9" s="114" t="s">
        <v>1245</v>
      </c>
      <c r="D9" s="146">
        <v>209</v>
      </c>
      <c r="E9" s="114"/>
      <c r="F9" s="127" t="s">
        <v>88</v>
      </c>
      <c r="G9" s="121"/>
    </row>
    <row r="10" spans="1:7" s="106" customFormat="1" ht="19" customHeight="1" x14ac:dyDescent="0.15">
      <c r="A10" s="113">
        <v>43759</v>
      </c>
      <c r="B10" s="114" t="s">
        <v>574</v>
      </c>
      <c r="C10" s="114" t="s">
        <v>1246</v>
      </c>
      <c r="D10" s="141">
        <v>172</v>
      </c>
      <c r="E10" s="114"/>
      <c r="F10" s="118" t="s">
        <v>727</v>
      </c>
      <c r="G10" s="121" t="s">
        <v>883</v>
      </c>
    </row>
    <row r="11" spans="1:7" s="106" customFormat="1" ht="19" customHeight="1" x14ac:dyDescent="0.15">
      <c r="A11" s="113">
        <v>43765</v>
      </c>
      <c r="B11" s="114" t="s">
        <v>576</v>
      </c>
      <c r="C11" s="114" t="s">
        <v>1247</v>
      </c>
      <c r="D11" s="146">
        <v>167</v>
      </c>
      <c r="E11" s="114"/>
      <c r="F11" s="118" t="s">
        <v>727</v>
      </c>
      <c r="G11" s="121" t="s">
        <v>883</v>
      </c>
    </row>
    <row r="12" spans="1:7" s="106" customFormat="1" ht="19" customHeight="1" x14ac:dyDescent="0.15">
      <c r="A12" s="113">
        <v>43764</v>
      </c>
      <c r="B12" s="114" t="s">
        <v>619</v>
      </c>
      <c r="C12" s="114" t="s">
        <v>56</v>
      </c>
      <c r="D12" s="146">
        <v>59</v>
      </c>
      <c r="E12" s="114"/>
      <c r="F12" s="119" t="s">
        <v>88</v>
      </c>
      <c r="G12" s="121" t="s">
        <v>883</v>
      </c>
    </row>
    <row r="13" spans="1:7" s="106" customFormat="1" ht="19" customHeight="1" x14ac:dyDescent="0.15">
      <c r="A13" s="113">
        <v>43766</v>
      </c>
      <c r="B13" s="114" t="s">
        <v>574</v>
      </c>
      <c r="C13" s="114" t="s">
        <v>537</v>
      </c>
      <c r="D13" s="146">
        <v>169</v>
      </c>
      <c r="E13" s="114"/>
      <c r="F13" s="118" t="s">
        <v>727</v>
      </c>
      <c r="G13" s="121" t="s">
        <v>883</v>
      </c>
    </row>
    <row r="14" spans="1:7" s="106" customFormat="1" ht="19" customHeight="1" x14ac:dyDescent="0.15">
      <c r="A14" s="113">
        <v>43772</v>
      </c>
      <c r="B14" s="114" t="s">
        <v>576</v>
      </c>
      <c r="C14" s="114" t="s">
        <v>1248</v>
      </c>
      <c r="D14" s="146">
        <v>133</v>
      </c>
      <c r="E14" s="114"/>
      <c r="F14" s="118" t="s">
        <v>727</v>
      </c>
      <c r="G14" s="121" t="s">
        <v>883</v>
      </c>
    </row>
    <row r="15" spans="1:7" s="106" customFormat="1" ht="19" customHeight="1" x14ac:dyDescent="0.15">
      <c r="A15" s="113">
        <v>43778</v>
      </c>
      <c r="B15" s="114" t="s">
        <v>576</v>
      </c>
      <c r="C15" s="114" t="s">
        <v>382</v>
      </c>
      <c r="D15" s="146">
        <v>182</v>
      </c>
      <c r="E15" s="114"/>
      <c r="F15" s="118" t="s">
        <v>727</v>
      </c>
      <c r="G15" s="121" t="s">
        <v>883</v>
      </c>
    </row>
    <row r="16" spans="1:7" s="106" customFormat="1" ht="19" customHeight="1" x14ac:dyDescent="0.15">
      <c r="A16" s="113">
        <v>43780</v>
      </c>
      <c r="B16" s="114" t="s">
        <v>574</v>
      </c>
      <c r="C16" s="114" t="s">
        <v>382</v>
      </c>
      <c r="D16" s="146">
        <v>189</v>
      </c>
      <c r="E16" s="114"/>
      <c r="F16" s="118" t="s">
        <v>727</v>
      </c>
      <c r="G16" s="121" t="s">
        <v>883</v>
      </c>
    </row>
    <row r="17" spans="1:7" s="106" customFormat="1" ht="19" customHeight="1" x14ac:dyDescent="0.15">
      <c r="A17" s="113">
        <v>43782</v>
      </c>
      <c r="B17" s="123">
        <v>0.1875</v>
      </c>
      <c r="C17" s="114" t="s">
        <v>413</v>
      </c>
      <c r="D17" s="146">
        <v>250</v>
      </c>
      <c r="E17" s="114" t="s">
        <v>1253</v>
      </c>
      <c r="F17" s="119" t="s">
        <v>88</v>
      </c>
      <c r="G17" s="121" t="s">
        <v>883</v>
      </c>
    </row>
    <row r="18" spans="1:7" s="106" customFormat="1" ht="19" customHeight="1" x14ac:dyDescent="0.15">
      <c r="A18" s="113">
        <v>43783</v>
      </c>
      <c r="B18" s="114" t="s">
        <v>1096</v>
      </c>
      <c r="C18" s="114" t="s">
        <v>56</v>
      </c>
      <c r="D18" s="146">
        <v>16</v>
      </c>
      <c r="E18" s="114"/>
      <c r="F18" s="119" t="s">
        <v>88</v>
      </c>
      <c r="G18" s="121" t="s">
        <v>883</v>
      </c>
    </row>
    <row r="19" spans="1:7" s="106" customFormat="1" ht="19" customHeight="1" x14ac:dyDescent="0.15">
      <c r="A19" s="113">
        <v>43757</v>
      </c>
      <c r="B19" s="114" t="s">
        <v>1110</v>
      </c>
      <c r="C19" s="114" t="s">
        <v>1249</v>
      </c>
      <c r="D19" s="146">
        <v>102</v>
      </c>
      <c r="E19" s="114"/>
      <c r="F19" s="127" t="s">
        <v>88</v>
      </c>
      <c r="G19" s="121" t="s">
        <v>883</v>
      </c>
    </row>
    <row r="20" spans="1:7" s="106" customFormat="1" ht="19" customHeight="1" x14ac:dyDescent="0.15">
      <c r="A20" s="113">
        <v>43785</v>
      </c>
      <c r="B20" s="114" t="s">
        <v>576</v>
      </c>
      <c r="C20" s="114" t="s">
        <v>324</v>
      </c>
      <c r="D20" s="146">
        <v>257</v>
      </c>
      <c r="E20" s="114"/>
      <c r="F20" s="118" t="s">
        <v>727</v>
      </c>
      <c r="G20" s="121" t="s">
        <v>883</v>
      </c>
    </row>
    <row r="21" spans="1:7" s="106" customFormat="1" ht="19" customHeight="1" x14ac:dyDescent="0.15">
      <c r="A21" s="113">
        <v>43787</v>
      </c>
      <c r="B21" s="114" t="s">
        <v>574</v>
      </c>
      <c r="C21" s="114" t="s">
        <v>324</v>
      </c>
      <c r="D21" s="146">
        <v>337</v>
      </c>
      <c r="E21" s="114"/>
      <c r="F21" s="118" t="s">
        <v>727</v>
      </c>
      <c r="G21" s="121" t="s">
        <v>883</v>
      </c>
    </row>
    <row r="22" spans="1:7" s="106" customFormat="1" ht="19" customHeight="1" x14ac:dyDescent="0.15">
      <c r="A22" s="113">
        <v>43795</v>
      </c>
      <c r="B22" s="114" t="s">
        <v>576</v>
      </c>
      <c r="C22" s="114" t="s">
        <v>935</v>
      </c>
      <c r="D22" s="146">
        <v>147</v>
      </c>
      <c r="E22" s="114"/>
      <c r="F22" s="119" t="s">
        <v>88</v>
      </c>
      <c r="G22" s="121" t="s">
        <v>883</v>
      </c>
    </row>
    <row r="23" spans="1:7" s="106" customFormat="1" ht="19" customHeight="1" x14ac:dyDescent="0.15">
      <c r="A23" s="113">
        <v>43799</v>
      </c>
      <c r="B23" s="114" t="s">
        <v>576</v>
      </c>
      <c r="C23" s="114" t="s">
        <v>1218</v>
      </c>
      <c r="D23" s="146">
        <v>280</v>
      </c>
      <c r="E23" s="114"/>
      <c r="F23" s="118" t="s">
        <v>727</v>
      </c>
      <c r="G23" s="121" t="s">
        <v>883</v>
      </c>
    </row>
    <row r="24" spans="1:7" s="106" customFormat="1" ht="19" customHeight="1" x14ac:dyDescent="0.15">
      <c r="A24" s="113">
        <v>43801</v>
      </c>
      <c r="B24" s="114" t="s">
        <v>574</v>
      </c>
      <c r="C24" s="114" t="s">
        <v>1218</v>
      </c>
      <c r="D24" s="146">
        <v>336</v>
      </c>
      <c r="E24" s="114"/>
      <c r="F24" s="118" t="s">
        <v>727</v>
      </c>
      <c r="G24" s="121" t="s">
        <v>883</v>
      </c>
    </row>
    <row r="25" spans="1:7" s="106" customFormat="1" ht="19" customHeight="1" x14ac:dyDescent="0.15">
      <c r="A25" s="113">
        <v>43802</v>
      </c>
      <c r="B25" s="114" t="s">
        <v>576</v>
      </c>
      <c r="C25" s="114" t="s">
        <v>484</v>
      </c>
      <c r="D25" s="146">
        <v>169</v>
      </c>
      <c r="E25" s="114"/>
      <c r="F25" s="118" t="s">
        <v>727</v>
      </c>
      <c r="G25" s="121" t="s">
        <v>883</v>
      </c>
    </row>
    <row r="26" spans="1:7" s="106" customFormat="1" ht="19" customHeight="1" x14ac:dyDescent="0.15">
      <c r="A26" s="113">
        <v>43803</v>
      </c>
      <c r="B26" s="114" t="s">
        <v>608</v>
      </c>
      <c r="C26" s="114" t="s">
        <v>56</v>
      </c>
      <c r="D26" s="146" t="s">
        <v>90</v>
      </c>
      <c r="E26" s="114"/>
      <c r="F26" s="119" t="s">
        <v>88</v>
      </c>
      <c r="G26" s="121" t="s">
        <v>883</v>
      </c>
    </row>
    <row r="27" spans="1:7" s="106" customFormat="1" ht="19" customHeight="1" x14ac:dyDescent="0.15">
      <c r="A27" s="113">
        <v>43804</v>
      </c>
      <c r="B27" s="114" t="s">
        <v>608</v>
      </c>
      <c r="C27" s="114" t="s">
        <v>56</v>
      </c>
      <c r="D27" s="146">
        <v>41</v>
      </c>
      <c r="E27" s="114"/>
      <c r="F27" s="119" t="s">
        <v>88</v>
      </c>
      <c r="G27" s="121" t="s">
        <v>883</v>
      </c>
    </row>
    <row r="28" spans="1:7" s="106" customFormat="1" ht="19" customHeight="1" x14ac:dyDescent="0.15">
      <c r="A28" s="128"/>
      <c r="B28" s="129"/>
      <c r="C28" s="129"/>
      <c r="D28" s="148"/>
      <c r="E28" s="129"/>
      <c r="F28" s="130"/>
      <c r="G28" s="131"/>
    </row>
    <row r="29" spans="1:7" s="106" customFormat="1" ht="19" customHeight="1" x14ac:dyDescent="0.15">
      <c r="A29" s="132" t="s">
        <v>680</v>
      </c>
      <c r="B29" s="133" t="s">
        <v>681</v>
      </c>
      <c r="C29" s="134" t="s">
        <v>229</v>
      </c>
      <c r="D29" s="149" t="s">
        <v>230</v>
      </c>
      <c r="E29" s="134" t="s">
        <v>152</v>
      </c>
      <c r="F29" s="136" t="s">
        <v>86</v>
      </c>
      <c r="G29" s="137" t="s">
        <v>802</v>
      </c>
    </row>
    <row r="30" spans="1:7" s="106" customFormat="1" ht="19" customHeight="1" x14ac:dyDescent="0.15">
      <c r="A30" s="138">
        <v>43856</v>
      </c>
      <c r="B30" s="114" t="s">
        <v>576</v>
      </c>
      <c r="C30" s="114" t="s">
        <v>1250</v>
      </c>
      <c r="D30" s="150" t="s">
        <v>1277</v>
      </c>
      <c r="E30" s="114"/>
      <c r="F30" s="119" t="s">
        <v>727</v>
      </c>
      <c r="G30" s="121" t="s">
        <v>883</v>
      </c>
    </row>
    <row r="31" spans="1:7" s="106" customFormat="1" ht="19" customHeight="1" x14ac:dyDescent="0.15">
      <c r="A31" s="113">
        <v>43862</v>
      </c>
      <c r="B31" s="114" t="s">
        <v>576</v>
      </c>
      <c r="C31" s="114" t="s">
        <v>10</v>
      </c>
      <c r="D31" s="146">
        <v>86</v>
      </c>
      <c r="E31" s="114"/>
      <c r="F31" s="119" t="s">
        <v>88</v>
      </c>
      <c r="G31" s="121" t="s">
        <v>883</v>
      </c>
    </row>
    <row r="32" spans="1:7" s="106" customFormat="1" ht="19" customHeight="1" x14ac:dyDescent="0.15">
      <c r="A32" s="113">
        <v>43863</v>
      </c>
      <c r="B32" s="114" t="s">
        <v>576</v>
      </c>
      <c r="C32" s="114" t="s">
        <v>10</v>
      </c>
      <c r="D32" s="146">
        <v>83</v>
      </c>
      <c r="E32" s="114" t="s">
        <v>1285</v>
      </c>
      <c r="F32" s="119" t="s">
        <v>88</v>
      </c>
      <c r="G32" s="121" t="s">
        <v>883</v>
      </c>
    </row>
    <row r="33" spans="1:7" s="106" customFormat="1" ht="19" customHeight="1" x14ac:dyDescent="0.15">
      <c r="A33" s="113">
        <v>43870</v>
      </c>
      <c r="B33" s="114" t="s">
        <v>576</v>
      </c>
      <c r="C33" s="114" t="s">
        <v>1251</v>
      </c>
      <c r="D33" s="146">
        <v>136</v>
      </c>
      <c r="E33" s="114"/>
      <c r="F33" s="119" t="s">
        <v>727</v>
      </c>
      <c r="G33" s="121" t="s">
        <v>883</v>
      </c>
    </row>
    <row r="34" spans="1:7" s="106" customFormat="1" ht="19" customHeight="1" x14ac:dyDescent="0.15">
      <c r="A34" s="113">
        <v>43870</v>
      </c>
      <c r="B34" s="114" t="s">
        <v>576</v>
      </c>
      <c r="C34" s="114" t="s">
        <v>1252</v>
      </c>
      <c r="D34" s="146">
        <v>132</v>
      </c>
      <c r="E34" s="114"/>
      <c r="F34" s="118" t="s">
        <v>727</v>
      </c>
      <c r="G34" s="121" t="s">
        <v>883</v>
      </c>
    </row>
    <row r="35" spans="1:7" s="106" customFormat="1" ht="19" customHeight="1" x14ac:dyDescent="0.15">
      <c r="A35" s="113">
        <v>43874</v>
      </c>
      <c r="B35" s="114" t="s">
        <v>576</v>
      </c>
      <c r="C35" s="114" t="s">
        <v>56</v>
      </c>
      <c r="D35" s="146" t="s">
        <v>1288</v>
      </c>
      <c r="E35" s="114"/>
      <c r="F35" s="119" t="s">
        <v>88</v>
      </c>
      <c r="G35" s="121" t="s">
        <v>883</v>
      </c>
    </row>
    <row r="36" spans="1:7" s="106" customFormat="1" ht="19" customHeight="1" x14ac:dyDescent="0.15">
      <c r="A36" s="113">
        <v>43876</v>
      </c>
      <c r="B36" s="114" t="s">
        <v>1110</v>
      </c>
      <c r="C36" s="114" t="s">
        <v>370</v>
      </c>
      <c r="D36" s="146">
        <v>108</v>
      </c>
      <c r="E36" s="114" t="s">
        <v>91</v>
      </c>
      <c r="F36" s="119" t="s">
        <v>88</v>
      </c>
      <c r="G36" s="121" t="s">
        <v>883</v>
      </c>
    </row>
    <row r="37" spans="1:7" s="106" customFormat="1" ht="19" customHeight="1" x14ac:dyDescent="0.15">
      <c r="A37" s="113">
        <v>43883</v>
      </c>
      <c r="B37" s="114" t="s">
        <v>576</v>
      </c>
      <c r="C37" s="114" t="s">
        <v>1232</v>
      </c>
      <c r="D37" s="146">
        <v>477</v>
      </c>
      <c r="E37" s="114" t="s">
        <v>1278</v>
      </c>
      <c r="F37" s="119" t="s">
        <v>727</v>
      </c>
      <c r="G37" s="121" t="s">
        <v>883</v>
      </c>
    </row>
    <row r="38" spans="1:7" s="106" customFormat="1" ht="19" customHeight="1" x14ac:dyDescent="0.15">
      <c r="A38" s="113">
        <v>43885</v>
      </c>
      <c r="B38" s="114" t="s">
        <v>574</v>
      </c>
      <c r="C38" s="114" t="s">
        <v>1232</v>
      </c>
      <c r="D38" s="146">
        <v>550</v>
      </c>
      <c r="E38" s="121" t="s">
        <v>1278</v>
      </c>
      <c r="F38" s="119" t="s">
        <v>727</v>
      </c>
      <c r="G38" s="121" t="s">
        <v>883</v>
      </c>
    </row>
    <row r="39" spans="1:7" s="106" customFormat="1" ht="19" customHeight="1" x14ac:dyDescent="0.15">
      <c r="A39" s="113">
        <v>43890</v>
      </c>
      <c r="B39" s="114" t="s">
        <v>619</v>
      </c>
      <c r="C39" s="114" t="s">
        <v>56</v>
      </c>
      <c r="D39" s="146">
        <v>34</v>
      </c>
      <c r="E39" s="114"/>
      <c r="F39" s="119" t="s">
        <v>88</v>
      </c>
      <c r="G39" s="121" t="s">
        <v>883</v>
      </c>
    </row>
    <row r="40" spans="1:7" s="106" customFormat="1" ht="19" customHeight="1" x14ac:dyDescent="0.15">
      <c r="A40" s="113">
        <v>43891</v>
      </c>
      <c r="B40" s="114" t="s">
        <v>576</v>
      </c>
      <c r="C40" s="114" t="s">
        <v>1279</v>
      </c>
      <c r="D40" s="146">
        <v>124</v>
      </c>
      <c r="E40" s="114"/>
      <c r="F40" s="119" t="s">
        <v>727</v>
      </c>
      <c r="G40" s="121" t="s">
        <v>883</v>
      </c>
    </row>
    <row r="41" spans="1:7" s="106" customFormat="1" ht="19" customHeight="1" x14ac:dyDescent="0.15">
      <c r="A41" s="113">
        <v>43892</v>
      </c>
      <c r="B41" s="114" t="s">
        <v>574</v>
      </c>
      <c r="C41" s="114" t="s">
        <v>1305</v>
      </c>
      <c r="D41" s="146">
        <v>165</v>
      </c>
      <c r="E41" s="114"/>
      <c r="F41" s="119" t="s">
        <v>727</v>
      </c>
      <c r="G41" s="121" t="s">
        <v>883</v>
      </c>
    </row>
    <row r="42" spans="1:7" s="106" customFormat="1" ht="19" customHeight="1" x14ac:dyDescent="0.15">
      <c r="A42" s="113">
        <v>43911</v>
      </c>
      <c r="B42" s="114" t="s">
        <v>576</v>
      </c>
      <c r="C42" s="114" t="s">
        <v>1280</v>
      </c>
      <c r="D42" s="146">
        <v>153</v>
      </c>
      <c r="E42" s="114"/>
      <c r="F42" s="119" t="s">
        <v>727</v>
      </c>
      <c r="G42" s="121" t="s">
        <v>883</v>
      </c>
    </row>
    <row r="43" spans="1:7" s="106" customFormat="1" ht="19" customHeight="1" x14ac:dyDescent="0.15">
      <c r="A43" s="113">
        <v>43894</v>
      </c>
      <c r="B43" s="114" t="s">
        <v>638</v>
      </c>
      <c r="C43" s="114" t="s">
        <v>413</v>
      </c>
      <c r="D43" s="146">
        <v>225</v>
      </c>
      <c r="E43" s="114"/>
      <c r="F43" s="119" t="s">
        <v>88</v>
      </c>
      <c r="G43" s="121" t="s">
        <v>883</v>
      </c>
    </row>
    <row r="44" spans="1:7" s="106" customFormat="1" ht="19" customHeight="1" x14ac:dyDescent="0.15">
      <c r="A44" s="113">
        <v>43913</v>
      </c>
      <c r="B44" s="114" t="s">
        <v>574</v>
      </c>
      <c r="C44" s="114" t="s">
        <v>1182</v>
      </c>
      <c r="D44" s="146">
        <v>152</v>
      </c>
      <c r="E44" s="114"/>
      <c r="F44" s="119" t="s">
        <v>727</v>
      </c>
      <c r="G44" s="121" t="s">
        <v>883</v>
      </c>
    </row>
    <row r="45" spans="1:7" s="106" customFormat="1" ht="19" customHeight="1" x14ac:dyDescent="0.15">
      <c r="A45" s="113">
        <v>43919</v>
      </c>
      <c r="B45" s="114" t="s">
        <v>576</v>
      </c>
      <c r="C45" s="114" t="s">
        <v>961</v>
      </c>
      <c r="D45" s="146">
        <v>106</v>
      </c>
      <c r="E45" s="114"/>
      <c r="F45" s="119" t="s">
        <v>727</v>
      </c>
      <c r="G45" s="121" t="s">
        <v>883</v>
      </c>
    </row>
    <row r="46" spans="1:7" s="106" customFormat="1" ht="19" customHeight="1" x14ac:dyDescent="0.15">
      <c r="A46" s="113">
        <v>43919</v>
      </c>
      <c r="B46" s="114" t="s">
        <v>619</v>
      </c>
      <c r="C46" s="114" t="s">
        <v>1286</v>
      </c>
      <c r="D46" s="146">
        <v>10</v>
      </c>
      <c r="E46" s="114"/>
      <c r="F46" s="119" t="s">
        <v>88</v>
      </c>
      <c r="G46" s="121" t="s">
        <v>1287</v>
      </c>
    </row>
    <row r="47" spans="1:7" s="106" customFormat="1" ht="19" customHeight="1" x14ac:dyDescent="0.15">
      <c r="A47" s="113">
        <v>43925</v>
      </c>
      <c r="B47" s="114" t="s">
        <v>650</v>
      </c>
      <c r="C47" s="114" t="s">
        <v>56</v>
      </c>
      <c r="D47" s="146">
        <v>50</v>
      </c>
      <c r="E47" s="114"/>
      <c r="F47" s="119" t="s">
        <v>88</v>
      </c>
      <c r="G47" s="121" t="s">
        <v>883</v>
      </c>
    </row>
    <row r="48" spans="1:7" s="106" customFormat="1" ht="19" customHeight="1" x14ac:dyDescent="0.15">
      <c r="A48" s="113">
        <v>43927</v>
      </c>
      <c r="B48" s="114" t="s">
        <v>574</v>
      </c>
      <c r="C48" s="114" t="s">
        <v>21</v>
      </c>
      <c r="D48" s="146">
        <v>168</v>
      </c>
      <c r="E48" s="114"/>
      <c r="F48" s="119" t="s">
        <v>727</v>
      </c>
      <c r="G48" s="121" t="s">
        <v>883</v>
      </c>
    </row>
    <row r="49" spans="1:7" s="106" customFormat="1" ht="19" customHeight="1" x14ac:dyDescent="0.15">
      <c r="A49" s="113">
        <v>43932</v>
      </c>
      <c r="B49" s="114" t="s">
        <v>576</v>
      </c>
      <c r="C49" s="114" t="s">
        <v>1232</v>
      </c>
      <c r="D49" s="146">
        <v>234</v>
      </c>
      <c r="E49" s="114"/>
      <c r="F49" s="119" t="s">
        <v>727</v>
      </c>
      <c r="G49" s="121" t="s">
        <v>883</v>
      </c>
    </row>
    <row r="50" spans="1:7" s="106" customFormat="1" ht="19" customHeight="1" x14ac:dyDescent="0.15">
      <c r="A50" s="113">
        <v>43933</v>
      </c>
      <c r="B50" s="123">
        <v>0.32430555555555557</v>
      </c>
      <c r="C50" s="114" t="s">
        <v>1281</v>
      </c>
      <c r="D50" s="146">
        <v>67</v>
      </c>
      <c r="E50" s="114"/>
      <c r="F50" s="119" t="s">
        <v>88</v>
      </c>
      <c r="G50" s="121" t="s">
        <v>883</v>
      </c>
    </row>
    <row r="51" spans="1:7" s="106" customFormat="1" ht="19" customHeight="1" x14ac:dyDescent="0.15">
      <c r="A51" s="113">
        <v>43934</v>
      </c>
      <c r="B51" s="114" t="s">
        <v>574</v>
      </c>
      <c r="C51" s="114" t="s">
        <v>1232</v>
      </c>
      <c r="D51" s="146">
        <v>345</v>
      </c>
      <c r="E51" s="114"/>
      <c r="F51" s="119" t="s">
        <v>727</v>
      </c>
      <c r="G51" s="121" t="s">
        <v>883</v>
      </c>
    </row>
    <row r="52" spans="1:7" s="106" customFormat="1" ht="19" customHeight="1" x14ac:dyDescent="0.15">
      <c r="A52" s="113">
        <v>43937</v>
      </c>
      <c r="B52" s="114" t="s">
        <v>1291</v>
      </c>
      <c r="C52" s="114" t="s">
        <v>1289</v>
      </c>
      <c r="D52" s="146">
        <v>43</v>
      </c>
      <c r="E52" s="114"/>
      <c r="F52" s="119" t="s">
        <v>88</v>
      </c>
      <c r="G52" s="121" t="s">
        <v>1290</v>
      </c>
    </row>
    <row r="53" spans="1:7" s="106" customFormat="1" ht="19" customHeight="1" x14ac:dyDescent="0.15">
      <c r="A53" s="113">
        <v>43939</v>
      </c>
      <c r="B53" s="114" t="s">
        <v>576</v>
      </c>
      <c r="C53" s="114" t="s">
        <v>382</v>
      </c>
      <c r="D53" s="146">
        <v>140</v>
      </c>
      <c r="E53" s="114"/>
      <c r="F53" s="119" t="s">
        <v>727</v>
      </c>
      <c r="G53" s="121" t="s">
        <v>883</v>
      </c>
    </row>
    <row r="54" spans="1:7" s="106" customFormat="1" ht="19" customHeight="1" x14ac:dyDescent="0.15">
      <c r="A54" s="113">
        <v>43940</v>
      </c>
      <c r="B54" s="114" t="s">
        <v>576</v>
      </c>
      <c r="C54" s="114" t="s">
        <v>1282</v>
      </c>
      <c r="D54" s="146">
        <v>89</v>
      </c>
      <c r="E54" s="114"/>
      <c r="F54" s="119" t="s">
        <v>727</v>
      </c>
      <c r="G54" s="121" t="s">
        <v>883</v>
      </c>
    </row>
    <row r="55" spans="1:7" s="106" customFormat="1" ht="19" customHeight="1" x14ac:dyDescent="0.15">
      <c r="A55" s="113">
        <v>43941</v>
      </c>
      <c r="B55" s="114" t="s">
        <v>574</v>
      </c>
      <c r="C55" s="114" t="s">
        <v>382</v>
      </c>
      <c r="D55" s="146">
        <v>149</v>
      </c>
      <c r="E55" s="114"/>
      <c r="F55" s="119" t="s">
        <v>727</v>
      </c>
      <c r="G55" s="121" t="s">
        <v>883</v>
      </c>
    </row>
    <row r="56" spans="1:7" s="106" customFormat="1" ht="19" customHeight="1" x14ac:dyDescent="0.15">
      <c r="A56" s="113">
        <v>43942</v>
      </c>
      <c r="B56" s="114" t="s">
        <v>576</v>
      </c>
      <c r="C56" s="114" t="s">
        <v>532</v>
      </c>
      <c r="D56" s="146">
        <v>106</v>
      </c>
      <c r="E56" s="114"/>
      <c r="F56" s="119" t="s">
        <v>88</v>
      </c>
      <c r="G56" s="121" t="s">
        <v>883</v>
      </c>
    </row>
    <row r="57" spans="1:7" s="106" customFormat="1" ht="19" customHeight="1" x14ac:dyDescent="0.15">
      <c r="A57" s="113">
        <v>43945</v>
      </c>
      <c r="B57" s="114" t="s">
        <v>576</v>
      </c>
      <c r="C57" s="114" t="s">
        <v>479</v>
      </c>
      <c r="D57" s="146">
        <v>202</v>
      </c>
      <c r="E57" s="114"/>
      <c r="F57" s="119" t="s">
        <v>727</v>
      </c>
      <c r="G57" s="121" t="s">
        <v>883</v>
      </c>
    </row>
    <row r="58" spans="1:7" s="106" customFormat="1" ht="19" customHeight="1" x14ac:dyDescent="0.15">
      <c r="A58" s="113">
        <v>43946</v>
      </c>
      <c r="B58" s="114" t="s">
        <v>1241</v>
      </c>
      <c r="C58" s="114" t="s">
        <v>1283</v>
      </c>
      <c r="D58" s="146" t="s">
        <v>1292</v>
      </c>
      <c r="E58" s="114" t="s">
        <v>227</v>
      </c>
      <c r="F58" s="119" t="s">
        <v>88</v>
      </c>
      <c r="G58" s="121" t="s">
        <v>883</v>
      </c>
    </row>
    <row r="59" spans="1:7" s="106" customFormat="1" ht="19" customHeight="1" x14ac:dyDescent="0.15">
      <c r="A59" s="113">
        <v>43946</v>
      </c>
      <c r="B59" s="114" t="s">
        <v>576</v>
      </c>
      <c r="C59" s="114" t="s">
        <v>640</v>
      </c>
      <c r="D59" s="146">
        <v>283</v>
      </c>
      <c r="E59" s="114" t="s">
        <v>227</v>
      </c>
      <c r="F59" s="119" t="s">
        <v>727</v>
      </c>
      <c r="G59" s="121" t="s">
        <v>883</v>
      </c>
    </row>
    <row r="60" spans="1:7" s="106" customFormat="1" ht="19" customHeight="1" x14ac:dyDescent="0.15">
      <c r="A60" s="113">
        <v>43947</v>
      </c>
      <c r="B60" s="114" t="s">
        <v>671</v>
      </c>
      <c r="C60" s="114" t="s">
        <v>479</v>
      </c>
      <c r="D60" s="146">
        <v>365</v>
      </c>
      <c r="E60" s="114" t="s">
        <v>227</v>
      </c>
      <c r="F60" s="119" t="s">
        <v>727</v>
      </c>
      <c r="G60" s="121" t="s">
        <v>1284</v>
      </c>
    </row>
    <row r="61" spans="1:7" s="106" customFormat="1" ht="19" customHeight="1" x14ac:dyDescent="0.15">
      <c r="A61" s="113">
        <v>43949</v>
      </c>
      <c r="B61" s="114" t="s">
        <v>576</v>
      </c>
      <c r="C61" s="114" t="s">
        <v>484</v>
      </c>
      <c r="D61" s="146">
        <v>174</v>
      </c>
      <c r="E61" s="114"/>
      <c r="F61" s="119" t="s">
        <v>727</v>
      </c>
      <c r="G61" s="121" t="s">
        <v>883</v>
      </c>
    </row>
    <row r="62" spans="1:7" s="106" customFormat="1" ht="19" customHeight="1" x14ac:dyDescent="0.15">
      <c r="A62" s="113">
        <v>43950</v>
      </c>
      <c r="B62" s="114" t="s">
        <v>608</v>
      </c>
      <c r="C62" s="114" t="s">
        <v>56</v>
      </c>
      <c r="D62" s="146">
        <v>44</v>
      </c>
      <c r="E62" s="114"/>
      <c r="F62" s="119" t="s">
        <v>88</v>
      </c>
      <c r="G62" s="121" t="s">
        <v>883</v>
      </c>
    </row>
    <row r="63" spans="1:7" s="106" customFormat="1" ht="19" customHeight="1" x14ac:dyDescent="0.15">
      <c r="A63" s="113">
        <v>43951</v>
      </c>
      <c r="B63" s="114" t="s">
        <v>608</v>
      </c>
      <c r="C63" s="114" t="s">
        <v>56</v>
      </c>
      <c r="D63" s="146">
        <v>40</v>
      </c>
      <c r="E63" s="114"/>
      <c r="F63" s="119" t="s">
        <v>88</v>
      </c>
      <c r="G63" s="121" t="s">
        <v>883</v>
      </c>
    </row>
    <row r="64" spans="1:7" s="106" customFormat="1" ht="19" customHeight="1" x14ac:dyDescent="0.15">
      <c r="A64" s="115"/>
      <c r="B64" s="116"/>
      <c r="C64" s="116"/>
      <c r="D64" s="151"/>
      <c r="E64" s="116"/>
      <c r="F64" s="116"/>
    </row>
    <row r="65" spans="1:6" s="106" customFormat="1" ht="19" customHeight="1" x14ac:dyDescent="0.15">
      <c r="A65" s="115" t="s">
        <v>1276</v>
      </c>
      <c r="B65" s="143"/>
      <c r="C65" s="116"/>
      <c r="D65" s="151"/>
      <c r="E65" s="116"/>
      <c r="F65" s="116"/>
    </row>
    <row r="66" spans="1:6" s="106" customFormat="1" ht="19" customHeight="1" x14ac:dyDescent="0.15">
      <c r="A66" s="115"/>
      <c r="B66" s="116" t="s">
        <v>1268</v>
      </c>
      <c r="C66" s="116" t="s">
        <v>1274</v>
      </c>
      <c r="D66" s="151">
        <v>130</v>
      </c>
      <c r="E66" s="116"/>
      <c r="F66" s="116"/>
    </row>
    <row r="67" spans="1:6" s="106" customFormat="1" ht="19" customHeight="1" x14ac:dyDescent="0.15">
      <c r="A67" s="115"/>
      <c r="B67" s="116" t="s">
        <v>1269</v>
      </c>
      <c r="C67" s="116" t="s">
        <v>1275</v>
      </c>
      <c r="D67" s="151">
        <v>140</v>
      </c>
      <c r="E67" s="116"/>
      <c r="F67" s="116"/>
    </row>
    <row r="68" spans="1:6" s="106" customFormat="1" ht="19" customHeight="1" x14ac:dyDescent="0.15">
      <c r="A68" s="115"/>
      <c r="B68" s="116" t="s">
        <v>1270</v>
      </c>
      <c r="C68" s="116" t="s">
        <v>1271</v>
      </c>
      <c r="D68" s="151">
        <v>82</v>
      </c>
      <c r="E68" s="116"/>
      <c r="F68" s="116"/>
    </row>
    <row r="69" spans="1:6" s="106" customFormat="1" ht="19" customHeight="1" x14ac:dyDescent="0.15">
      <c r="A69" s="115"/>
      <c r="B69" s="116" t="s">
        <v>1272</v>
      </c>
      <c r="C69" s="116" t="s">
        <v>1273</v>
      </c>
      <c r="D69" s="151">
        <v>105</v>
      </c>
      <c r="E69" s="116"/>
      <c r="F69" s="116"/>
    </row>
    <row r="70" spans="1:6" s="106" customFormat="1" ht="19" customHeight="1" x14ac:dyDescent="0.15">
      <c r="A70" s="115"/>
      <c r="B70" s="116"/>
      <c r="C70" s="116"/>
      <c r="D70" s="151"/>
      <c r="E70" s="116"/>
      <c r="F70" s="116"/>
    </row>
    <row r="71" spans="1:6" s="106" customFormat="1" ht="19" customHeight="1" x14ac:dyDescent="0.15">
      <c r="A71" s="115"/>
      <c r="B71" s="116"/>
      <c r="C71" s="116"/>
      <c r="D71" s="151"/>
      <c r="E71" s="116"/>
      <c r="F71" s="116"/>
    </row>
    <row r="72" spans="1:6" s="106" customFormat="1" ht="19" customHeight="1" x14ac:dyDescent="0.15">
      <c r="A72" s="115"/>
      <c r="B72" s="116"/>
      <c r="C72" s="116"/>
      <c r="D72" s="151"/>
      <c r="E72" s="116"/>
      <c r="F72" s="116"/>
    </row>
    <row r="73" spans="1:6" s="106" customFormat="1" ht="19" customHeight="1" x14ac:dyDescent="0.15">
      <c r="A73" s="115"/>
      <c r="B73" s="116"/>
      <c r="C73" s="116"/>
      <c r="D73" s="151"/>
      <c r="E73" s="116"/>
      <c r="F73" s="116"/>
    </row>
    <row r="74" spans="1:6" s="106" customFormat="1" ht="19" customHeight="1" x14ac:dyDescent="0.15">
      <c r="A74" s="115"/>
      <c r="B74" s="116"/>
      <c r="C74" s="116"/>
      <c r="D74" s="151"/>
      <c r="E74" s="116"/>
      <c r="F74" s="116"/>
    </row>
    <row r="75" spans="1:6" s="106" customFormat="1" ht="19" customHeight="1" x14ac:dyDescent="0.15">
      <c r="A75" s="115"/>
      <c r="B75" s="116"/>
      <c r="C75" s="116"/>
      <c r="D75" s="151"/>
      <c r="E75" s="116"/>
      <c r="F75" s="116"/>
    </row>
    <row r="76" spans="1:6" s="106" customFormat="1" ht="19" customHeight="1" x14ac:dyDescent="0.15">
      <c r="A76" s="115"/>
      <c r="B76" s="116"/>
      <c r="C76" s="116"/>
      <c r="D76" s="151"/>
      <c r="E76" s="116"/>
      <c r="F76" s="116"/>
    </row>
    <row r="77" spans="1:6" s="106" customFormat="1" ht="19" customHeight="1" x14ac:dyDescent="0.15">
      <c r="A77" s="115"/>
      <c r="B77" s="116"/>
      <c r="C77" s="116"/>
      <c r="D77" s="151"/>
      <c r="E77" s="116"/>
      <c r="F77" s="116"/>
    </row>
    <row r="78" spans="1:6" s="106" customFormat="1" ht="19" customHeight="1" x14ac:dyDescent="0.15">
      <c r="A78" s="115"/>
      <c r="B78" s="116"/>
      <c r="C78" s="116"/>
      <c r="D78" s="151"/>
      <c r="E78" s="116"/>
      <c r="F78" s="116"/>
    </row>
    <row r="79" spans="1:6" s="106" customFormat="1" ht="19" customHeight="1" x14ac:dyDescent="0.15">
      <c r="A79" s="115"/>
      <c r="B79" s="116"/>
      <c r="C79" s="116"/>
      <c r="D79" s="151"/>
      <c r="E79" s="116"/>
      <c r="F79" s="116"/>
    </row>
    <row r="80" spans="1:6" s="106" customFormat="1" ht="19" customHeight="1" x14ac:dyDescent="0.15">
      <c r="A80" s="115"/>
      <c r="B80" s="116"/>
      <c r="C80" s="116"/>
      <c r="D80" s="151"/>
      <c r="E80" s="116"/>
      <c r="F80" s="116"/>
    </row>
    <row r="81" spans="1:6" s="106" customFormat="1" ht="19" customHeight="1" x14ac:dyDescent="0.15">
      <c r="A81" s="115"/>
      <c r="B81" s="116"/>
      <c r="C81" s="116"/>
      <c r="D81" s="151"/>
      <c r="E81" s="116"/>
      <c r="F81" s="116"/>
    </row>
    <row r="82" spans="1:6" s="106" customFormat="1" ht="19" customHeight="1" x14ac:dyDescent="0.15">
      <c r="A82" s="115"/>
      <c r="B82" s="116"/>
      <c r="C82" s="116"/>
      <c r="D82" s="151"/>
      <c r="E82" s="116"/>
      <c r="F82" s="116"/>
    </row>
    <row r="83" spans="1:6" s="106" customFormat="1" ht="19" customHeight="1" x14ac:dyDescent="0.15">
      <c r="A83" s="116"/>
      <c r="B83" s="116"/>
      <c r="C83" s="116"/>
      <c r="D83" s="151"/>
      <c r="E83" s="116"/>
      <c r="F83" s="116"/>
    </row>
    <row r="84" spans="1:6" s="106" customFormat="1" ht="19" customHeight="1" x14ac:dyDescent="0.15">
      <c r="A84" s="116"/>
      <c r="B84" s="116"/>
      <c r="C84" s="116"/>
      <c r="D84" s="151"/>
      <c r="E84" s="116"/>
      <c r="F84" s="116"/>
    </row>
    <row r="85" spans="1:6" s="106" customFormat="1" ht="19" customHeight="1" x14ac:dyDescent="0.15">
      <c r="A85" s="116"/>
      <c r="B85" s="116"/>
      <c r="C85" s="116"/>
      <c r="D85" s="151"/>
      <c r="E85" s="116"/>
      <c r="F85" s="116"/>
    </row>
    <row r="86" spans="1:6" s="106" customFormat="1" ht="19" customHeight="1" x14ac:dyDescent="0.15">
      <c r="A86" s="116"/>
      <c r="B86" s="116"/>
      <c r="C86" s="116"/>
      <c r="D86" s="151"/>
      <c r="E86" s="116"/>
      <c r="F86" s="116"/>
    </row>
    <row r="87" spans="1:6" s="106" customFormat="1" ht="19" customHeight="1" x14ac:dyDescent="0.15">
      <c r="A87" s="116"/>
      <c r="B87" s="116"/>
      <c r="C87" s="116"/>
      <c r="D87" s="151"/>
      <c r="E87" s="116"/>
      <c r="F87" s="116"/>
    </row>
    <row r="88" spans="1:6" s="106" customFormat="1" ht="19" customHeight="1" x14ac:dyDescent="0.15">
      <c r="A88" s="116"/>
      <c r="B88" s="116"/>
      <c r="C88" s="116"/>
      <c r="D88" s="151"/>
      <c r="E88" s="116"/>
      <c r="F88" s="116"/>
    </row>
    <row r="89" spans="1:6" s="106" customFormat="1" ht="19" customHeight="1" x14ac:dyDescent="0.15">
      <c r="A89" s="116"/>
      <c r="B89" s="116"/>
      <c r="C89" s="116"/>
      <c r="D89" s="151"/>
      <c r="E89" s="116"/>
      <c r="F89" s="116"/>
    </row>
    <row r="90" spans="1:6" s="106" customFormat="1" ht="19" customHeight="1" x14ac:dyDescent="0.15">
      <c r="A90" s="116"/>
      <c r="B90" s="116"/>
      <c r="C90" s="116"/>
      <c r="D90" s="151"/>
      <c r="E90" s="116"/>
      <c r="F90" s="116"/>
    </row>
    <row r="91" spans="1:6" s="106" customFormat="1" ht="19" customHeight="1" x14ac:dyDescent="0.15">
      <c r="A91" s="116"/>
      <c r="B91" s="116"/>
      <c r="C91" s="116"/>
      <c r="D91" s="151"/>
      <c r="E91" s="116"/>
      <c r="F91" s="116"/>
    </row>
    <row r="92" spans="1:6" s="106" customFormat="1" ht="19" customHeight="1" x14ac:dyDescent="0.15">
      <c r="A92" s="116"/>
      <c r="B92" s="116"/>
      <c r="C92" s="116"/>
      <c r="D92" s="151"/>
      <c r="E92" s="116"/>
      <c r="F92" s="116"/>
    </row>
    <row r="93" spans="1:6" s="106" customFormat="1" ht="19" customHeight="1" x14ac:dyDescent="0.15">
      <c r="A93" s="116"/>
      <c r="B93" s="116"/>
      <c r="C93" s="116"/>
      <c r="D93" s="151"/>
      <c r="E93" s="116"/>
      <c r="F93" s="116"/>
    </row>
    <row r="94" spans="1:6" s="106" customFormat="1" ht="19" customHeight="1" x14ac:dyDescent="0.15">
      <c r="A94" s="116"/>
      <c r="B94" s="116"/>
      <c r="C94" s="116"/>
      <c r="D94" s="151"/>
      <c r="E94" s="116"/>
      <c r="F94" s="116"/>
    </row>
    <row r="95" spans="1:6" s="106" customFormat="1" ht="19" customHeight="1" x14ac:dyDescent="0.15">
      <c r="A95" s="116"/>
      <c r="B95" s="116"/>
      <c r="C95" s="116"/>
      <c r="D95" s="151"/>
      <c r="E95" s="116"/>
      <c r="F95" s="116"/>
    </row>
    <row r="96" spans="1:6" s="106" customFormat="1" ht="19" customHeight="1" x14ac:dyDescent="0.15">
      <c r="A96" s="116"/>
      <c r="B96" s="116"/>
      <c r="C96" s="116"/>
      <c r="D96" s="151"/>
      <c r="E96" s="116"/>
      <c r="F96" s="116"/>
    </row>
    <row r="97" spans="1:6" s="106" customFormat="1" ht="19" customHeight="1" x14ac:dyDescent="0.15">
      <c r="A97" s="116"/>
      <c r="B97" s="116"/>
      <c r="C97" s="116"/>
      <c r="D97" s="151"/>
      <c r="E97" s="116"/>
      <c r="F97" s="116"/>
    </row>
    <row r="98" spans="1:6" s="106" customFormat="1" ht="19" customHeight="1" x14ac:dyDescent="0.15">
      <c r="A98" s="116"/>
      <c r="B98" s="116"/>
      <c r="C98" s="116"/>
      <c r="D98" s="151"/>
      <c r="E98" s="116"/>
      <c r="F98" s="116"/>
    </row>
    <row r="99" spans="1:6" s="106" customFormat="1" ht="19" customHeight="1" x14ac:dyDescent="0.15">
      <c r="A99" s="116"/>
      <c r="B99" s="116"/>
      <c r="C99" s="116"/>
      <c r="D99" s="151"/>
      <c r="E99" s="116"/>
      <c r="F99" s="116"/>
    </row>
    <row r="100" spans="1:6" s="106" customFormat="1" ht="19" customHeight="1" x14ac:dyDescent="0.15">
      <c r="A100" s="116"/>
      <c r="B100" s="116"/>
      <c r="C100" s="116"/>
      <c r="D100" s="151"/>
      <c r="E100" s="116"/>
      <c r="F100" s="116"/>
    </row>
    <row r="101" spans="1:6" s="106" customFormat="1" ht="19" customHeight="1" x14ac:dyDescent="0.15">
      <c r="A101" s="116"/>
      <c r="B101" s="116"/>
      <c r="C101" s="116"/>
      <c r="D101" s="151"/>
      <c r="E101" s="116"/>
      <c r="F101" s="116"/>
    </row>
  </sheetData>
  <autoFilter ref="A1:G63" xr:uid="{9C1228CC-2FF6-6349-9C48-C5BF7DEB9D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102"/>
  <sheetViews>
    <sheetView zoomScaleNormal="100" workbookViewId="0">
      <selection activeCell="E70" sqref="E70"/>
    </sheetView>
  </sheetViews>
  <sheetFormatPr baseColWidth="10" defaultRowHeight="19" customHeight="1" x14ac:dyDescent="0.15"/>
  <cols>
    <col min="1" max="1" width="11.6640625" style="122" customWidth="1"/>
    <col min="2" max="2" width="13" style="122" customWidth="1"/>
    <col min="3" max="3" width="23.1640625" style="122" customWidth="1"/>
    <col min="4" max="4" width="11.1640625" style="122" customWidth="1"/>
    <col min="5" max="5" width="26.5" style="122" customWidth="1"/>
    <col min="6" max="6" width="23.6640625" style="122" customWidth="1"/>
    <col min="7" max="7" width="30" style="48" customWidth="1"/>
    <col min="8" max="16384" width="10.83203125" style="48"/>
  </cols>
  <sheetData>
    <row r="1" spans="1:7" s="106" customFormat="1" ht="19" customHeight="1" x14ac:dyDescent="0.15">
      <c r="A1" s="107" t="s">
        <v>680</v>
      </c>
      <c r="B1" s="108" t="s">
        <v>681</v>
      </c>
      <c r="C1" s="109" t="s">
        <v>229</v>
      </c>
      <c r="D1" s="110" t="s">
        <v>230</v>
      </c>
      <c r="E1" s="109" t="s">
        <v>152</v>
      </c>
      <c r="F1" s="117" t="s">
        <v>86</v>
      </c>
      <c r="G1" s="120" t="s">
        <v>802</v>
      </c>
    </row>
    <row r="2" spans="1:7" s="106" customFormat="1" ht="19" customHeight="1" x14ac:dyDescent="0.15">
      <c r="A2" s="111">
        <v>43353</v>
      </c>
      <c r="B2" s="112" t="s">
        <v>574</v>
      </c>
      <c r="C2" s="112" t="s">
        <v>250</v>
      </c>
      <c r="D2" s="124">
        <v>132</v>
      </c>
      <c r="E2" s="112"/>
      <c r="F2" s="118" t="s">
        <v>727</v>
      </c>
      <c r="G2" s="121" t="s">
        <v>883</v>
      </c>
    </row>
    <row r="3" spans="1:7" s="106" customFormat="1" ht="19" customHeight="1" x14ac:dyDescent="0.15">
      <c r="A3" s="113">
        <v>43360</v>
      </c>
      <c r="B3" s="114" t="s">
        <v>574</v>
      </c>
      <c r="C3" s="114" t="s">
        <v>1182</v>
      </c>
      <c r="D3" s="125">
        <v>97</v>
      </c>
      <c r="E3" s="114"/>
      <c r="F3" s="118" t="s">
        <v>727</v>
      </c>
      <c r="G3" s="121" t="s">
        <v>883</v>
      </c>
    </row>
    <row r="4" spans="1:7" s="106" customFormat="1" ht="19" customHeight="1" x14ac:dyDescent="0.15">
      <c r="A4" s="113">
        <v>43366</v>
      </c>
      <c r="B4" s="114" t="s">
        <v>576</v>
      </c>
      <c r="C4" s="114" t="s">
        <v>1213</v>
      </c>
      <c r="D4" s="125">
        <v>155</v>
      </c>
      <c r="E4" s="114"/>
      <c r="F4" s="118" t="s">
        <v>727</v>
      </c>
      <c r="G4" s="121" t="s">
        <v>883</v>
      </c>
    </row>
    <row r="5" spans="1:7" s="106" customFormat="1" ht="19" customHeight="1" x14ac:dyDescent="0.15">
      <c r="A5" s="113">
        <v>43374</v>
      </c>
      <c r="B5" s="114" t="s">
        <v>574</v>
      </c>
      <c r="C5" s="114" t="s">
        <v>1214</v>
      </c>
      <c r="D5" s="125">
        <v>176</v>
      </c>
      <c r="E5" s="114"/>
      <c r="F5" s="118" t="s">
        <v>727</v>
      </c>
      <c r="G5" s="121" t="s">
        <v>883</v>
      </c>
    </row>
    <row r="6" spans="1:7" s="106" customFormat="1" ht="19" customHeight="1" x14ac:dyDescent="0.15">
      <c r="A6" s="113">
        <v>43379</v>
      </c>
      <c r="B6" s="114" t="s">
        <v>576</v>
      </c>
      <c r="C6" s="114" t="s">
        <v>324</v>
      </c>
      <c r="D6" s="125">
        <v>223</v>
      </c>
      <c r="E6" s="114"/>
      <c r="F6" s="118" t="s">
        <v>727</v>
      </c>
      <c r="G6" s="121" t="s">
        <v>883</v>
      </c>
    </row>
    <row r="7" spans="1:7" s="106" customFormat="1" ht="19" customHeight="1" x14ac:dyDescent="0.15">
      <c r="A7" s="113">
        <v>43381</v>
      </c>
      <c r="B7" s="114" t="s">
        <v>574</v>
      </c>
      <c r="C7" s="114" t="s">
        <v>324</v>
      </c>
      <c r="D7" s="125">
        <v>244</v>
      </c>
      <c r="E7" s="114"/>
      <c r="F7" s="118" t="s">
        <v>727</v>
      </c>
      <c r="G7" s="121" t="s">
        <v>883</v>
      </c>
    </row>
    <row r="8" spans="1:7" s="106" customFormat="1" ht="19" customHeight="1" x14ac:dyDescent="0.15">
      <c r="A8" s="113">
        <v>43384</v>
      </c>
      <c r="B8" s="114" t="s">
        <v>1096</v>
      </c>
      <c r="C8" s="114" t="s">
        <v>56</v>
      </c>
      <c r="D8" s="126" t="s">
        <v>1048</v>
      </c>
      <c r="E8" s="114" t="s">
        <v>1221</v>
      </c>
      <c r="F8" s="119" t="s">
        <v>88</v>
      </c>
      <c r="G8" s="121" t="s">
        <v>883</v>
      </c>
    </row>
    <row r="9" spans="1:7" s="106" customFormat="1" ht="19" customHeight="1" x14ac:dyDescent="0.15">
      <c r="A9" s="113">
        <v>43391</v>
      </c>
      <c r="B9" s="114" t="s">
        <v>638</v>
      </c>
      <c r="C9" s="114" t="s">
        <v>1222</v>
      </c>
      <c r="D9" s="126">
        <v>54</v>
      </c>
      <c r="E9" s="114" t="s">
        <v>1223</v>
      </c>
      <c r="F9" s="127" t="s">
        <v>88</v>
      </c>
      <c r="G9" s="121" t="s">
        <v>1224</v>
      </c>
    </row>
    <row r="10" spans="1:7" s="106" customFormat="1" ht="19" customHeight="1" x14ac:dyDescent="0.15">
      <c r="A10" s="113">
        <v>43393</v>
      </c>
      <c r="B10" s="114" t="s">
        <v>576</v>
      </c>
      <c r="C10" s="114" t="s">
        <v>1215</v>
      </c>
      <c r="D10" s="125">
        <v>94</v>
      </c>
      <c r="E10" s="114"/>
      <c r="F10" s="118" t="s">
        <v>727</v>
      </c>
      <c r="G10" s="121" t="s">
        <v>883</v>
      </c>
    </row>
    <row r="11" spans="1:7" s="106" customFormat="1" ht="19" customHeight="1" x14ac:dyDescent="0.15">
      <c r="A11" s="113">
        <v>43395</v>
      </c>
      <c r="B11" s="114" t="s">
        <v>574</v>
      </c>
      <c r="C11" s="114" t="s">
        <v>1216</v>
      </c>
      <c r="D11" s="125">
        <v>179</v>
      </c>
      <c r="E11" s="114"/>
      <c r="F11" s="118" t="s">
        <v>727</v>
      </c>
      <c r="G11" s="121" t="s">
        <v>883</v>
      </c>
    </row>
    <row r="12" spans="1:7" s="106" customFormat="1" ht="19" customHeight="1" x14ac:dyDescent="0.15">
      <c r="A12" s="113">
        <v>43400</v>
      </c>
      <c r="B12" s="114" t="s">
        <v>1096</v>
      </c>
      <c r="C12" s="114" t="s">
        <v>56</v>
      </c>
      <c r="D12" s="125">
        <v>39</v>
      </c>
      <c r="E12" s="114"/>
      <c r="F12" s="119" t="s">
        <v>88</v>
      </c>
      <c r="G12" s="121" t="s">
        <v>883</v>
      </c>
    </row>
    <row r="13" spans="1:7" s="106" customFormat="1" ht="19" customHeight="1" x14ac:dyDescent="0.15">
      <c r="A13" s="113">
        <v>43402</v>
      </c>
      <c r="B13" s="114" t="s">
        <v>574</v>
      </c>
      <c r="C13" s="114" t="s">
        <v>537</v>
      </c>
      <c r="D13" s="125">
        <v>133</v>
      </c>
      <c r="E13" s="114"/>
      <c r="F13" s="118" t="s">
        <v>727</v>
      </c>
      <c r="G13" s="121" t="s">
        <v>883</v>
      </c>
    </row>
    <row r="14" spans="1:7" s="106" customFormat="1" ht="19" customHeight="1" x14ac:dyDescent="0.15">
      <c r="A14" s="113">
        <v>43407</v>
      </c>
      <c r="B14" s="114" t="s">
        <v>619</v>
      </c>
      <c r="C14" s="114" t="s">
        <v>1219</v>
      </c>
      <c r="D14" s="125">
        <v>75</v>
      </c>
      <c r="E14" s="114"/>
      <c r="F14" s="118" t="s">
        <v>88</v>
      </c>
      <c r="G14" s="121" t="s">
        <v>1220</v>
      </c>
    </row>
    <row r="15" spans="1:7" s="106" customFormat="1" ht="19" customHeight="1" x14ac:dyDescent="0.15">
      <c r="A15" s="113">
        <v>43408</v>
      </c>
      <c r="B15" s="114" t="s">
        <v>576</v>
      </c>
      <c r="C15" s="114" t="s">
        <v>1217</v>
      </c>
      <c r="D15" s="125">
        <v>172</v>
      </c>
      <c r="E15" s="114"/>
      <c r="F15" s="118" t="s">
        <v>727</v>
      </c>
      <c r="G15" s="121" t="s">
        <v>883</v>
      </c>
    </row>
    <row r="16" spans="1:7" s="106" customFormat="1" ht="19" customHeight="1" x14ac:dyDescent="0.15">
      <c r="A16" s="113">
        <v>43414</v>
      </c>
      <c r="B16" s="114" t="s">
        <v>576</v>
      </c>
      <c r="C16" s="114" t="s">
        <v>382</v>
      </c>
      <c r="D16" s="125">
        <v>107</v>
      </c>
      <c r="E16" s="114"/>
      <c r="F16" s="118" t="s">
        <v>727</v>
      </c>
      <c r="G16" s="121" t="s">
        <v>883</v>
      </c>
    </row>
    <row r="17" spans="1:7" s="106" customFormat="1" ht="19" customHeight="1" x14ac:dyDescent="0.15">
      <c r="A17" s="113">
        <v>43416</v>
      </c>
      <c r="B17" s="114" t="s">
        <v>574</v>
      </c>
      <c r="C17" s="114" t="s">
        <v>382</v>
      </c>
      <c r="D17" s="125">
        <v>148</v>
      </c>
      <c r="E17" s="114"/>
      <c r="F17" s="118" t="s">
        <v>727</v>
      </c>
      <c r="G17" s="121" t="s">
        <v>883</v>
      </c>
    </row>
    <row r="18" spans="1:7" s="106" customFormat="1" ht="19" customHeight="1" x14ac:dyDescent="0.15">
      <c r="A18" s="113">
        <v>43418</v>
      </c>
      <c r="B18" s="123">
        <v>0.1875</v>
      </c>
      <c r="C18" s="114" t="s">
        <v>413</v>
      </c>
      <c r="D18" s="125">
        <v>251</v>
      </c>
      <c r="E18" s="114"/>
      <c r="F18" s="119" t="s">
        <v>88</v>
      </c>
      <c r="G18" s="121" t="s">
        <v>883</v>
      </c>
    </row>
    <row r="19" spans="1:7" s="106" customFormat="1" ht="19" customHeight="1" x14ac:dyDescent="0.15">
      <c r="A19" s="113">
        <v>43419</v>
      </c>
      <c r="B19" s="114" t="s">
        <v>1096</v>
      </c>
      <c r="C19" s="114" t="s">
        <v>56</v>
      </c>
      <c r="D19" s="125">
        <v>54</v>
      </c>
      <c r="E19" s="114"/>
      <c r="F19" s="119" t="s">
        <v>88</v>
      </c>
      <c r="G19" s="121" t="s">
        <v>883</v>
      </c>
    </row>
    <row r="20" spans="1:7" s="106" customFormat="1" ht="19" customHeight="1" x14ac:dyDescent="0.15">
      <c r="A20" s="113">
        <v>43420</v>
      </c>
      <c r="B20" s="114" t="s">
        <v>1110</v>
      </c>
      <c r="C20" s="114" t="s">
        <v>1234</v>
      </c>
      <c r="D20" s="125">
        <v>99</v>
      </c>
      <c r="E20" s="114"/>
      <c r="F20" s="127" t="s">
        <v>88</v>
      </c>
      <c r="G20" s="121" t="s">
        <v>883</v>
      </c>
    </row>
    <row r="21" spans="1:7" s="106" customFormat="1" ht="19" customHeight="1" x14ac:dyDescent="0.15">
      <c r="A21" s="113">
        <v>43421</v>
      </c>
      <c r="B21" s="114" t="s">
        <v>576</v>
      </c>
      <c r="C21" s="114" t="s">
        <v>324</v>
      </c>
      <c r="D21" s="125">
        <v>189</v>
      </c>
      <c r="E21" s="114"/>
      <c r="F21" s="118" t="s">
        <v>727</v>
      </c>
      <c r="G21" s="121" t="s">
        <v>883</v>
      </c>
    </row>
    <row r="22" spans="1:7" s="106" customFormat="1" ht="19" customHeight="1" x14ac:dyDescent="0.15">
      <c r="A22" s="113">
        <v>43423</v>
      </c>
      <c r="B22" s="114" t="s">
        <v>574</v>
      </c>
      <c r="C22" s="114" t="s">
        <v>324</v>
      </c>
      <c r="D22" s="125">
        <v>244</v>
      </c>
      <c r="E22" s="114"/>
      <c r="F22" s="118" t="s">
        <v>727</v>
      </c>
      <c r="G22" s="121" t="s">
        <v>883</v>
      </c>
    </row>
    <row r="23" spans="1:7" s="106" customFormat="1" ht="19" customHeight="1" x14ac:dyDescent="0.15">
      <c r="A23" s="113">
        <v>43431</v>
      </c>
      <c r="B23" s="114" t="s">
        <v>576</v>
      </c>
      <c r="C23" s="114" t="s">
        <v>935</v>
      </c>
      <c r="D23" s="125">
        <v>166</v>
      </c>
      <c r="E23" s="114"/>
      <c r="F23" s="119" t="s">
        <v>88</v>
      </c>
      <c r="G23" s="121" t="s">
        <v>883</v>
      </c>
    </row>
    <row r="24" spans="1:7" s="106" customFormat="1" ht="19" customHeight="1" x14ac:dyDescent="0.15">
      <c r="A24" s="113">
        <v>43435</v>
      </c>
      <c r="B24" s="114" t="s">
        <v>576</v>
      </c>
      <c r="C24" s="114" t="s">
        <v>1218</v>
      </c>
      <c r="D24" s="125">
        <v>222</v>
      </c>
      <c r="E24" s="114"/>
      <c r="F24" s="118" t="s">
        <v>727</v>
      </c>
      <c r="G24" s="121" t="s">
        <v>883</v>
      </c>
    </row>
    <row r="25" spans="1:7" s="106" customFormat="1" ht="19" customHeight="1" x14ac:dyDescent="0.15">
      <c r="A25" s="113">
        <v>43437</v>
      </c>
      <c r="B25" s="114" t="s">
        <v>574</v>
      </c>
      <c r="C25" s="114" t="s">
        <v>1218</v>
      </c>
      <c r="D25" s="125">
        <v>290</v>
      </c>
      <c r="E25" s="114"/>
      <c r="F25" s="118" t="s">
        <v>727</v>
      </c>
      <c r="G25" s="121" t="s">
        <v>883</v>
      </c>
    </row>
    <row r="26" spans="1:7" s="106" customFormat="1" ht="19" customHeight="1" x14ac:dyDescent="0.15">
      <c r="A26" s="113">
        <v>43438</v>
      </c>
      <c r="B26" s="114" t="s">
        <v>576</v>
      </c>
      <c r="C26" s="114" t="s">
        <v>484</v>
      </c>
      <c r="D26" s="125">
        <v>155</v>
      </c>
      <c r="E26" s="114"/>
      <c r="F26" s="118" t="s">
        <v>727</v>
      </c>
      <c r="G26" s="121" t="s">
        <v>883</v>
      </c>
    </row>
    <row r="27" spans="1:7" s="106" customFormat="1" ht="19" customHeight="1" x14ac:dyDescent="0.15">
      <c r="A27" s="113">
        <v>43439</v>
      </c>
      <c r="B27" s="114" t="s">
        <v>608</v>
      </c>
      <c r="C27" s="114" t="s">
        <v>56</v>
      </c>
      <c r="D27" s="125">
        <v>34</v>
      </c>
      <c r="E27" s="114"/>
      <c r="F27" s="119" t="s">
        <v>88</v>
      </c>
      <c r="G27" s="121" t="s">
        <v>883</v>
      </c>
    </row>
    <row r="28" spans="1:7" s="106" customFormat="1" ht="19" customHeight="1" x14ac:dyDescent="0.15">
      <c r="A28" s="113">
        <v>43440</v>
      </c>
      <c r="B28" s="114" t="s">
        <v>608</v>
      </c>
      <c r="C28" s="114" t="s">
        <v>56</v>
      </c>
      <c r="D28" s="125">
        <v>40</v>
      </c>
      <c r="E28" s="114"/>
      <c r="F28" s="119" t="s">
        <v>88</v>
      </c>
      <c r="G28" s="121" t="s">
        <v>883</v>
      </c>
    </row>
    <row r="29" spans="1:7" s="106" customFormat="1" ht="19" customHeight="1" x14ac:dyDescent="0.15">
      <c r="A29" s="128"/>
      <c r="B29" s="129"/>
      <c r="C29" s="129"/>
      <c r="D29" s="129"/>
      <c r="E29" s="129"/>
      <c r="F29" s="130"/>
      <c r="G29" s="131"/>
    </row>
    <row r="30" spans="1:7" s="106" customFormat="1" ht="19" customHeight="1" x14ac:dyDescent="0.15">
      <c r="A30" s="132" t="s">
        <v>680</v>
      </c>
      <c r="B30" s="133" t="s">
        <v>681</v>
      </c>
      <c r="C30" s="134" t="s">
        <v>229</v>
      </c>
      <c r="D30" s="135" t="s">
        <v>230</v>
      </c>
      <c r="E30" s="134" t="s">
        <v>152</v>
      </c>
      <c r="F30" s="136" t="s">
        <v>86</v>
      </c>
      <c r="G30" s="137" t="s">
        <v>802</v>
      </c>
    </row>
    <row r="31" spans="1:7" s="106" customFormat="1" ht="19" customHeight="1" x14ac:dyDescent="0.15">
      <c r="A31" s="138">
        <v>43492</v>
      </c>
      <c r="B31" s="139"/>
      <c r="C31" s="114" t="s">
        <v>1236</v>
      </c>
      <c r="D31" s="140" t="s">
        <v>1237</v>
      </c>
      <c r="E31" s="114"/>
      <c r="F31" s="114" t="s">
        <v>727</v>
      </c>
      <c r="G31" s="121"/>
    </row>
    <row r="32" spans="1:7" s="106" customFormat="1" ht="19" customHeight="1" x14ac:dyDescent="0.15">
      <c r="A32" s="113">
        <v>43498</v>
      </c>
      <c r="B32" s="114" t="s">
        <v>576</v>
      </c>
      <c r="C32" s="114" t="s">
        <v>10</v>
      </c>
      <c r="D32" s="114">
        <v>65</v>
      </c>
      <c r="E32" s="114"/>
      <c r="F32" s="119" t="s">
        <v>88</v>
      </c>
      <c r="G32" s="121"/>
    </row>
    <row r="33" spans="1:7" s="106" customFormat="1" ht="19" customHeight="1" x14ac:dyDescent="0.15">
      <c r="A33" s="113">
        <v>43499</v>
      </c>
      <c r="B33" s="114" t="s">
        <v>576</v>
      </c>
      <c r="C33" s="114" t="s">
        <v>10</v>
      </c>
      <c r="D33" s="114">
        <v>97</v>
      </c>
      <c r="E33" s="114"/>
      <c r="F33" s="119" t="s">
        <v>88</v>
      </c>
      <c r="G33" s="121"/>
    </row>
    <row r="34" spans="1:7" s="106" customFormat="1" ht="19" customHeight="1" x14ac:dyDescent="0.15">
      <c r="A34" s="113">
        <v>43506</v>
      </c>
      <c r="B34" s="114" t="s">
        <v>576</v>
      </c>
      <c r="C34" s="114" t="s">
        <v>1225</v>
      </c>
      <c r="D34" s="114">
        <v>147</v>
      </c>
      <c r="E34" s="114"/>
      <c r="F34" s="119" t="s">
        <v>727</v>
      </c>
      <c r="G34" s="121"/>
    </row>
    <row r="35" spans="1:7" s="106" customFormat="1" ht="19" customHeight="1" x14ac:dyDescent="0.15">
      <c r="A35" s="113">
        <v>43510</v>
      </c>
      <c r="B35" s="114" t="s">
        <v>1096</v>
      </c>
      <c r="C35" s="114" t="s">
        <v>56</v>
      </c>
      <c r="D35" s="114">
        <v>10</v>
      </c>
      <c r="E35" s="114"/>
      <c r="F35" s="119" t="s">
        <v>88</v>
      </c>
      <c r="G35" s="121" t="s">
        <v>883</v>
      </c>
    </row>
    <row r="36" spans="1:7" s="106" customFormat="1" ht="19" customHeight="1" x14ac:dyDescent="0.15">
      <c r="A36" s="113">
        <v>43514</v>
      </c>
      <c r="B36" s="114" t="s">
        <v>574</v>
      </c>
      <c r="C36" s="114" t="s">
        <v>1182</v>
      </c>
      <c r="D36" s="114">
        <v>129</v>
      </c>
      <c r="E36" s="114"/>
      <c r="F36" s="119" t="s">
        <v>727</v>
      </c>
      <c r="G36" s="121"/>
    </row>
    <row r="37" spans="1:7" s="106" customFormat="1" ht="19" customHeight="1" x14ac:dyDescent="0.15">
      <c r="A37" s="113">
        <v>43556</v>
      </c>
      <c r="B37" s="114" t="s">
        <v>574</v>
      </c>
      <c r="C37" s="114" t="s">
        <v>1226</v>
      </c>
      <c r="D37" s="114">
        <v>20</v>
      </c>
      <c r="E37" s="114"/>
      <c r="F37" s="119" t="s">
        <v>88</v>
      </c>
      <c r="G37" s="121"/>
    </row>
    <row r="38" spans="1:7" s="106" customFormat="1" ht="19" customHeight="1" x14ac:dyDescent="0.15">
      <c r="A38" s="113">
        <v>43519</v>
      </c>
      <c r="B38" s="114" t="s">
        <v>576</v>
      </c>
      <c r="C38" s="114" t="s">
        <v>324</v>
      </c>
      <c r="D38" s="114">
        <v>202</v>
      </c>
      <c r="E38" s="114"/>
      <c r="F38" s="119" t="s">
        <v>727</v>
      </c>
      <c r="G38" s="121" t="s">
        <v>883</v>
      </c>
    </row>
    <row r="39" spans="1:7" s="106" customFormat="1" ht="19" customHeight="1" x14ac:dyDescent="0.15">
      <c r="A39" s="113">
        <v>43521</v>
      </c>
      <c r="B39" s="114" t="s">
        <v>574</v>
      </c>
      <c r="C39" s="114" t="s">
        <v>324</v>
      </c>
      <c r="D39" s="114">
        <v>255</v>
      </c>
      <c r="E39" s="114"/>
      <c r="F39" s="119" t="s">
        <v>727</v>
      </c>
      <c r="G39" s="121" t="s">
        <v>883</v>
      </c>
    </row>
    <row r="40" spans="1:7" s="106" customFormat="1" ht="19" customHeight="1" x14ac:dyDescent="0.15">
      <c r="A40" s="113">
        <v>43526</v>
      </c>
      <c r="B40" s="114" t="s">
        <v>619</v>
      </c>
      <c r="C40" s="114" t="s">
        <v>56</v>
      </c>
      <c r="D40" s="114">
        <v>29</v>
      </c>
      <c r="E40" s="114"/>
      <c r="F40" s="119" t="s">
        <v>88</v>
      </c>
      <c r="G40" s="121" t="s">
        <v>883</v>
      </c>
    </row>
    <row r="41" spans="1:7" s="106" customFormat="1" ht="19" customHeight="1" x14ac:dyDescent="0.15">
      <c r="A41" s="113">
        <v>43528</v>
      </c>
      <c r="B41" s="114" t="s">
        <v>574</v>
      </c>
      <c r="C41" s="114" t="s">
        <v>1227</v>
      </c>
      <c r="D41" s="114">
        <v>132</v>
      </c>
      <c r="E41" s="114"/>
      <c r="F41" s="119" t="s">
        <v>727</v>
      </c>
      <c r="G41" s="121"/>
    </row>
    <row r="42" spans="1:7" s="106" customFormat="1" ht="19" customHeight="1" x14ac:dyDescent="0.15">
      <c r="A42" s="113">
        <v>43530</v>
      </c>
      <c r="B42" s="114" t="s">
        <v>638</v>
      </c>
      <c r="C42" s="114" t="s">
        <v>413</v>
      </c>
      <c r="D42" s="114">
        <v>230</v>
      </c>
      <c r="E42" s="114"/>
      <c r="F42" s="119" t="s">
        <v>88</v>
      </c>
      <c r="G42" s="121" t="s">
        <v>883</v>
      </c>
    </row>
    <row r="43" spans="1:7" s="106" customFormat="1" ht="19" customHeight="1" x14ac:dyDescent="0.15">
      <c r="A43" s="113">
        <v>43531</v>
      </c>
      <c r="B43" s="114" t="s">
        <v>638</v>
      </c>
      <c r="C43" s="114" t="s">
        <v>1228</v>
      </c>
      <c r="D43" s="114">
        <v>15</v>
      </c>
      <c r="E43" s="114"/>
      <c r="F43" s="119" t="s">
        <v>88</v>
      </c>
      <c r="G43" s="121"/>
    </row>
    <row r="44" spans="1:7" s="106" customFormat="1" ht="19" customHeight="1" x14ac:dyDescent="0.15">
      <c r="A44" s="113">
        <v>43547</v>
      </c>
      <c r="B44" s="123" t="s">
        <v>1060</v>
      </c>
      <c r="C44" s="114" t="s">
        <v>1234</v>
      </c>
      <c r="D44" s="114">
        <v>90</v>
      </c>
      <c r="E44" s="114"/>
      <c r="F44" s="119" t="s">
        <v>88</v>
      </c>
      <c r="G44" s="121" t="s">
        <v>883</v>
      </c>
    </row>
    <row r="45" spans="1:7" s="106" customFormat="1" ht="19" customHeight="1" x14ac:dyDescent="0.15">
      <c r="A45" s="113">
        <v>43548</v>
      </c>
      <c r="B45" s="114" t="s">
        <v>576</v>
      </c>
      <c r="C45" s="114" t="s">
        <v>1238</v>
      </c>
      <c r="D45" s="114">
        <v>174</v>
      </c>
      <c r="E45" s="114"/>
      <c r="F45" s="119" t="s">
        <v>727</v>
      </c>
      <c r="G45" s="121"/>
    </row>
    <row r="46" spans="1:7" s="106" customFormat="1" ht="19" customHeight="1" x14ac:dyDescent="0.15">
      <c r="A46" s="113">
        <v>43549</v>
      </c>
      <c r="B46" s="114" t="s">
        <v>574</v>
      </c>
      <c r="C46" s="114" t="s">
        <v>1229</v>
      </c>
      <c r="D46" s="114">
        <v>144</v>
      </c>
      <c r="E46" s="114"/>
      <c r="F46" s="119" t="s">
        <v>727</v>
      </c>
      <c r="G46" s="121"/>
    </row>
    <row r="47" spans="1:7" s="106" customFormat="1" ht="19" customHeight="1" x14ac:dyDescent="0.15">
      <c r="A47" s="113">
        <v>43552</v>
      </c>
      <c r="B47" s="114" t="s">
        <v>1096</v>
      </c>
      <c r="C47" s="114" t="s">
        <v>56</v>
      </c>
      <c r="D47" s="114">
        <v>37</v>
      </c>
      <c r="E47" s="114"/>
      <c r="F47" s="119" t="s">
        <v>88</v>
      </c>
      <c r="G47" s="121" t="s">
        <v>883</v>
      </c>
    </row>
    <row r="48" spans="1:7" s="106" customFormat="1" ht="19" customHeight="1" x14ac:dyDescent="0.15">
      <c r="A48" s="113">
        <v>43561</v>
      </c>
      <c r="B48" s="114" t="s">
        <v>619</v>
      </c>
      <c r="C48" s="114" t="s">
        <v>1230</v>
      </c>
      <c r="D48" s="114">
        <v>34</v>
      </c>
      <c r="E48" s="114"/>
      <c r="F48" s="119" t="s">
        <v>88</v>
      </c>
      <c r="G48" s="121"/>
    </row>
    <row r="49" spans="1:7" s="106" customFormat="1" ht="19" customHeight="1" x14ac:dyDescent="0.15">
      <c r="A49" s="113">
        <v>43562</v>
      </c>
      <c r="B49" s="114" t="s">
        <v>576</v>
      </c>
      <c r="C49" s="114" t="s">
        <v>1231</v>
      </c>
      <c r="D49" s="114">
        <v>133</v>
      </c>
      <c r="E49" s="114"/>
      <c r="F49" s="119" t="s">
        <v>88</v>
      </c>
      <c r="G49" s="121"/>
    </row>
    <row r="50" spans="1:7" s="106" customFormat="1" ht="19" customHeight="1" x14ac:dyDescent="0.15">
      <c r="A50" s="113">
        <v>43561</v>
      </c>
      <c r="B50" s="123">
        <v>0.32430555555555557</v>
      </c>
      <c r="C50" s="114" t="s">
        <v>1240</v>
      </c>
      <c r="D50" s="114">
        <v>53</v>
      </c>
      <c r="E50" s="114"/>
      <c r="F50" s="119"/>
      <c r="G50" s="121"/>
    </row>
    <row r="51" spans="1:7" s="106" customFormat="1" ht="19" customHeight="1" x14ac:dyDescent="0.15">
      <c r="A51" s="113">
        <v>43566</v>
      </c>
      <c r="B51" s="114" t="s">
        <v>1096</v>
      </c>
      <c r="C51" s="114" t="s">
        <v>56</v>
      </c>
      <c r="D51" s="114">
        <v>44</v>
      </c>
      <c r="E51" s="114"/>
      <c r="F51" s="119" t="s">
        <v>88</v>
      </c>
      <c r="G51" s="121" t="s">
        <v>883</v>
      </c>
    </row>
    <row r="52" spans="1:7" s="106" customFormat="1" ht="19" customHeight="1" x14ac:dyDescent="0.15">
      <c r="A52" s="113">
        <v>43568</v>
      </c>
      <c r="B52" s="114" t="s">
        <v>576</v>
      </c>
      <c r="C52" s="114" t="s">
        <v>1232</v>
      </c>
      <c r="D52" s="114">
        <v>352</v>
      </c>
      <c r="E52" s="114"/>
      <c r="F52" s="119" t="s">
        <v>727</v>
      </c>
      <c r="G52" s="121"/>
    </row>
    <row r="53" spans="1:7" s="106" customFormat="1" ht="19" customHeight="1" x14ac:dyDescent="0.15">
      <c r="A53" s="113">
        <v>43569</v>
      </c>
      <c r="B53" s="114" t="s">
        <v>576</v>
      </c>
      <c r="C53" s="114" t="s">
        <v>1233</v>
      </c>
      <c r="D53" s="114">
        <v>155</v>
      </c>
      <c r="E53" s="114"/>
      <c r="F53" s="119" t="s">
        <v>88</v>
      </c>
      <c r="G53" s="121" t="s">
        <v>883</v>
      </c>
    </row>
    <row r="54" spans="1:7" s="106" customFormat="1" ht="19" customHeight="1" x14ac:dyDescent="0.15">
      <c r="A54" s="113">
        <v>43570</v>
      </c>
      <c r="B54" s="114" t="s">
        <v>574</v>
      </c>
      <c r="C54" s="114" t="s">
        <v>1232</v>
      </c>
      <c r="D54" s="114" t="s">
        <v>1239</v>
      </c>
      <c r="E54" s="114"/>
      <c r="F54" s="119" t="s">
        <v>727</v>
      </c>
      <c r="G54" s="121"/>
    </row>
    <row r="55" spans="1:7" s="106" customFormat="1" ht="19" customHeight="1" x14ac:dyDescent="0.15">
      <c r="A55" s="113">
        <v>43575</v>
      </c>
      <c r="B55" s="114" t="s">
        <v>576</v>
      </c>
      <c r="C55" s="114" t="s">
        <v>382</v>
      </c>
      <c r="D55" s="114" t="s">
        <v>1239</v>
      </c>
      <c r="E55" s="114"/>
      <c r="F55" s="119" t="s">
        <v>727</v>
      </c>
      <c r="G55" s="121" t="s">
        <v>883</v>
      </c>
    </row>
    <row r="56" spans="1:7" s="106" customFormat="1" ht="19" customHeight="1" x14ac:dyDescent="0.15">
      <c r="A56" s="113">
        <v>43577</v>
      </c>
      <c r="B56" s="114" t="s">
        <v>574</v>
      </c>
      <c r="C56" s="114" t="s">
        <v>382</v>
      </c>
      <c r="D56" s="114">
        <v>89</v>
      </c>
      <c r="E56" s="114"/>
      <c r="F56" s="119" t="s">
        <v>727</v>
      </c>
      <c r="G56" s="121" t="s">
        <v>883</v>
      </c>
    </row>
    <row r="57" spans="1:7" s="106" customFormat="1" ht="19" customHeight="1" x14ac:dyDescent="0.15">
      <c r="A57" s="113">
        <v>43578</v>
      </c>
      <c r="B57" s="114" t="s">
        <v>576</v>
      </c>
      <c r="C57" s="114" t="s">
        <v>532</v>
      </c>
      <c r="D57" s="114">
        <v>84</v>
      </c>
      <c r="E57" s="114"/>
      <c r="F57" s="119" t="s">
        <v>88</v>
      </c>
      <c r="G57" s="121" t="s">
        <v>883</v>
      </c>
    </row>
    <row r="58" spans="1:7" s="106" customFormat="1" ht="19" customHeight="1" x14ac:dyDescent="0.15">
      <c r="A58" s="113">
        <v>43581</v>
      </c>
      <c r="B58" s="114" t="s">
        <v>576</v>
      </c>
      <c r="C58" s="114" t="s">
        <v>479</v>
      </c>
      <c r="D58" s="114">
        <v>304</v>
      </c>
      <c r="E58" s="114"/>
      <c r="F58" s="119" t="s">
        <v>727</v>
      </c>
      <c r="G58" s="121" t="s">
        <v>883</v>
      </c>
    </row>
    <row r="59" spans="1:7" s="106" customFormat="1" ht="19" customHeight="1" x14ac:dyDescent="0.15">
      <c r="A59" s="113">
        <v>43582</v>
      </c>
      <c r="B59" s="114" t="s">
        <v>1241</v>
      </c>
      <c r="C59" s="114" t="s">
        <v>1242</v>
      </c>
      <c r="D59" s="114">
        <v>84</v>
      </c>
      <c r="E59" s="114" t="s">
        <v>227</v>
      </c>
      <c r="F59" s="119" t="s">
        <v>88</v>
      </c>
      <c r="G59" s="121" t="s">
        <v>883</v>
      </c>
    </row>
    <row r="60" spans="1:7" s="106" customFormat="1" ht="19" customHeight="1" x14ac:dyDescent="0.15">
      <c r="A60" s="113">
        <v>43582</v>
      </c>
      <c r="B60" s="114" t="s">
        <v>576</v>
      </c>
      <c r="C60" s="114" t="s">
        <v>640</v>
      </c>
      <c r="D60" s="114">
        <v>425</v>
      </c>
      <c r="E60" s="114" t="s">
        <v>227</v>
      </c>
      <c r="F60" s="119" t="s">
        <v>727</v>
      </c>
      <c r="G60" s="121" t="s">
        <v>883</v>
      </c>
    </row>
    <row r="61" spans="1:7" s="106" customFormat="1" ht="19" customHeight="1" x14ac:dyDescent="0.15">
      <c r="A61" s="113">
        <v>43583</v>
      </c>
      <c r="B61" s="114" t="s">
        <v>671</v>
      </c>
      <c r="C61" s="114" t="s">
        <v>479</v>
      </c>
      <c r="D61" s="114">
        <v>425</v>
      </c>
      <c r="E61" s="114" t="s">
        <v>227</v>
      </c>
      <c r="F61" s="119" t="s">
        <v>727</v>
      </c>
      <c r="G61" s="121" t="s">
        <v>883</v>
      </c>
    </row>
    <row r="62" spans="1:7" s="106" customFormat="1" ht="19" customHeight="1" x14ac:dyDescent="0.15">
      <c r="A62" s="113">
        <v>43585</v>
      </c>
      <c r="B62" s="114" t="s">
        <v>576</v>
      </c>
      <c r="C62" s="114" t="s">
        <v>484</v>
      </c>
      <c r="D62" s="114" t="s">
        <v>1239</v>
      </c>
      <c r="E62" s="114"/>
      <c r="F62" s="119" t="s">
        <v>727</v>
      </c>
      <c r="G62" s="121" t="s">
        <v>883</v>
      </c>
    </row>
    <row r="63" spans="1:7" s="106" customFormat="1" ht="19" customHeight="1" x14ac:dyDescent="0.15">
      <c r="A63" s="113">
        <v>43586</v>
      </c>
      <c r="B63" s="114" t="s">
        <v>608</v>
      </c>
      <c r="C63" s="114" t="s">
        <v>56</v>
      </c>
      <c r="D63" s="114">
        <v>48</v>
      </c>
      <c r="E63" s="114"/>
      <c r="F63" s="119" t="s">
        <v>88</v>
      </c>
      <c r="G63" s="121" t="s">
        <v>883</v>
      </c>
    </row>
    <row r="64" spans="1:7" s="106" customFormat="1" ht="19" customHeight="1" x14ac:dyDescent="0.15">
      <c r="A64" s="113">
        <v>43587</v>
      </c>
      <c r="B64" s="114" t="s">
        <v>608</v>
      </c>
      <c r="C64" s="114" t="s">
        <v>56</v>
      </c>
      <c r="D64" s="114">
        <v>62</v>
      </c>
      <c r="E64" s="114"/>
      <c r="F64" s="119" t="s">
        <v>88</v>
      </c>
      <c r="G64" s="121" t="s">
        <v>883</v>
      </c>
    </row>
    <row r="65" spans="1:6" s="106" customFormat="1" ht="19" customHeight="1" x14ac:dyDescent="0.15">
      <c r="A65" s="115"/>
      <c r="B65" s="116"/>
      <c r="C65" s="116"/>
      <c r="D65" s="116"/>
      <c r="E65" s="116"/>
      <c r="F65" s="116"/>
    </row>
    <row r="66" spans="1:6" s="106" customFormat="1" ht="19" customHeight="1" x14ac:dyDescent="0.15">
      <c r="A66" s="115" t="s">
        <v>1254</v>
      </c>
      <c r="B66" s="142" t="s">
        <v>1255</v>
      </c>
      <c r="C66" s="142" t="s">
        <v>1256</v>
      </c>
      <c r="D66" s="142">
        <v>180</v>
      </c>
      <c r="E66" s="116"/>
      <c r="F66" s="116"/>
    </row>
    <row r="67" spans="1:6" s="106" customFormat="1" ht="19" customHeight="1" x14ac:dyDescent="0.15">
      <c r="A67" s="115"/>
      <c r="B67" s="142" t="s">
        <v>1257</v>
      </c>
      <c r="C67" s="142" t="s">
        <v>1258</v>
      </c>
      <c r="D67" s="142" t="s">
        <v>1259</v>
      </c>
      <c r="E67" s="116"/>
      <c r="F67" s="116"/>
    </row>
    <row r="68" spans="1:6" s="106" customFormat="1" ht="19" customHeight="1" x14ac:dyDescent="0.15">
      <c r="A68" s="115"/>
      <c r="B68" s="142" t="s">
        <v>1260</v>
      </c>
      <c r="C68" s="142" t="s">
        <v>1261</v>
      </c>
      <c r="D68" s="142">
        <v>85</v>
      </c>
      <c r="E68" s="116"/>
      <c r="F68" s="116"/>
    </row>
    <row r="69" spans="1:6" s="106" customFormat="1" ht="19" customHeight="1" x14ac:dyDescent="0.15">
      <c r="A69" s="115"/>
      <c r="B69" s="142" t="s">
        <v>1262</v>
      </c>
      <c r="C69" s="142" t="s">
        <v>1263</v>
      </c>
      <c r="D69" s="142">
        <v>75</v>
      </c>
      <c r="E69" s="116"/>
      <c r="F69" s="116"/>
    </row>
    <row r="70" spans="1:6" s="106" customFormat="1" ht="19" customHeight="1" x14ac:dyDescent="0.15">
      <c r="A70" s="115"/>
      <c r="B70" s="142" t="s">
        <v>1264</v>
      </c>
      <c r="C70" s="142" t="s">
        <v>1265</v>
      </c>
      <c r="D70" s="142">
        <v>90</v>
      </c>
      <c r="E70" s="116"/>
      <c r="F70" s="116"/>
    </row>
    <row r="71" spans="1:6" s="106" customFormat="1" ht="19" customHeight="1" x14ac:dyDescent="0.15">
      <c r="A71" s="115"/>
      <c r="B71" s="142" t="s">
        <v>1266</v>
      </c>
      <c r="C71" s="142" t="s">
        <v>1267</v>
      </c>
      <c r="D71" s="142">
        <v>150</v>
      </c>
      <c r="E71" s="116"/>
      <c r="F71" s="116"/>
    </row>
    <row r="72" spans="1:6" s="106" customFormat="1" ht="19" customHeight="1" x14ac:dyDescent="0.15">
      <c r="A72" s="115"/>
      <c r="B72" s="116"/>
      <c r="C72" s="116"/>
      <c r="D72" s="116"/>
      <c r="E72" s="116"/>
      <c r="F72" s="116"/>
    </row>
    <row r="73" spans="1:6" s="106" customFormat="1" ht="19" customHeight="1" x14ac:dyDescent="0.15">
      <c r="A73" s="115"/>
      <c r="B73" s="116"/>
      <c r="C73" s="116"/>
      <c r="D73" s="116"/>
      <c r="E73" s="116"/>
      <c r="F73" s="116"/>
    </row>
    <row r="74" spans="1:6" s="106" customFormat="1" ht="19" customHeight="1" x14ac:dyDescent="0.15">
      <c r="A74" s="115"/>
      <c r="B74" s="116"/>
      <c r="C74" s="116"/>
      <c r="D74" s="116"/>
      <c r="E74" s="116"/>
      <c r="F74" s="116"/>
    </row>
    <row r="75" spans="1:6" s="106" customFormat="1" ht="19" customHeight="1" x14ac:dyDescent="0.15">
      <c r="A75" s="115"/>
      <c r="B75" s="116"/>
      <c r="C75" s="116"/>
      <c r="D75" s="116"/>
      <c r="E75" s="116"/>
      <c r="F75" s="116"/>
    </row>
    <row r="76" spans="1:6" s="106" customFormat="1" ht="19" customHeight="1" x14ac:dyDescent="0.15">
      <c r="A76" s="115"/>
      <c r="B76" s="116"/>
      <c r="C76" s="116"/>
      <c r="D76" s="116"/>
      <c r="E76" s="116"/>
      <c r="F76" s="116"/>
    </row>
    <row r="77" spans="1:6" s="106" customFormat="1" ht="19" customHeight="1" x14ac:dyDescent="0.15">
      <c r="A77" s="115"/>
      <c r="B77" s="116"/>
      <c r="C77" s="116"/>
      <c r="D77" s="116"/>
      <c r="E77" s="116"/>
      <c r="F77" s="116"/>
    </row>
    <row r="78" spans="1:6" s="106" customFormat="1" ht="19" customHeight="1" x14ac:dyDescent="0.15">
      <c r="A78" s="115"/>
      <c r="B78" s="116"/>
      <c r="C78" s="116"/>
      <c r="D78" s="116"/>
      <c r="E78" s="116"/>
      <c r="F78" s="116"/>
    </row>
    <row r="79" spans="1:6" s="106" customFormat="1" ht="19" customHeight="1" x14ac:dyDescent="0.15">
      <c r="A79" s="115"/>
      <c r="B79" s="116"/>
      <c r="C79" s="116"/>
      <c r="D79" s="116"/>
      <c r="E79" s="116"/>
      <c r="F79" s="116"/>
    </row>
    <row r="80" spans="1:6" s="106" customFormat="1" ht="19" customHeight="1" x14ac:dyDescent="0.15">
      <c r="A80" s="115"/>
      <c r="B80" s="116"/>
      <c r="C80" s="116"/>
      <c r="D80" s="116"/>
      <c r="E80" s="116"/>
      <c r="F80" s="116"/>
    </row>
    <row r="81" spans="1:6" s="106" customFormat="1" ht="19" customHeight="1" x14ac:dyDescent="0.15">
      <c r="A81" s="115"/>
      <c r="B81" s="116"/>
      <c r="C81" s="116"/>
      <c r="D81" s="116"/>
      <c r="E81" s="116"/>
      <c r="F81" s="116"/>
    </row>
    <row r="82" spans="1:6" s="106" customFormat="1" ht="19" customHeight="1" x14ac:dyDescent="0.15">
      <c r="A82" s="115"/>
      <c r="B82" s="116"/>
      <c r="C82" s="116"/>
      <c r="D82" s="116"/>
      <c r="E82" s="116"/>
      <c r="F82" s="116"/>
    </row>
    <row r="83" spans="1:6" s="106" customFormat="1" ht="19" customHeight="1" x14ac:dyDescent="0.15">
      <c r="A83" s="115"/>
      <c r="B83" s="116"/>
      <c r="C83" s="116"/>
      <c r="D83" s="116"/>
      <c r="E83" s="116"/>
      <c r="F83" s="116"/>
    </row>
    <row r="84" spans="1:6" s="106" customFormat="1" ht="19" customHeight="1" x14ac:dyDescent="0.15">
      <c r="A84" s="116"/>
      <c r="B84" s="116"/>
      <c r="C84" s="116"/>
      <c r="D84" s="116"/>
      <c r="E84" s="116"/>
      <c r="F84" s="116"/>
    </row>
    <row r="85" spans="1:6" s="106" customFormat="1" ht="19" customHeight="1" x14ac:dyDescent="0.15">
      <c r="A85" s="116"/>
      <c r="B85" s="116"/>
      <c r="C85" s="116"/>
      <c r="D85" s="116"/>
      <c r="E85" s="116"/>
      <c r="F85" s="116"/>
    </row>
    <row r="86" spans="1:6" s="106" customFormat="1" ht="19" customHeight="1" x14ac:dyDescent="0.15">
      <c r="A86" s="116"/>
      <c r="B86" s="116"/>
      <c r="C86" s="116"/>
      <c r="D86" s="116"/>
      <c r="E86" s="116"/>
      <c r="F86" s="116"/>
    </row>
    <row r="87" spans="1:6" s="106" customFormat="1" ht="19" customHeight="1" x14ac:dyDescent="0.15">
      <c r="A87" s="116"/>
      <c r="B87" s="116"/>
      <c r="C87" s="116"/>
      <c r="D87" s="116"/>
      <c r="E87" s="116"/>
      <c r="F87" s="116"/>
    </row>
    <row r="88" spans="1:6" s="106" customFormat="1" ht="19" customHeight="1" x14ac:dyDescent="0.15">
      <c r="A88" s="116"/>
      <c r="B88" s="116"/>
      <c r="C88" s="116"/>
      <c r="D88" s="116"/>
      <c r="E88" s="116"/>
      <c r="F88" s="116"/>
    </row>
    <row r="89" spans="1:6" s="106" customFormat="1" ht="19" customHeight="1" x14ac:dyDescent="0.15">
      <c r="A89" s="116"/>
      <c r="B89" s="116"/>
      <c r="C89" s="116"/>
      <c r="D89" s="116"/>
      <c r="E89" s="116"/>
      <c r="F89" s="116"/>
    </row>
    <row r="90" spans="1:6" s="106" customFormat="1" ht="19" customHeight="1" x14ac:dyDescent="0.15">
      <c r="A90" s="116"/>
      <c r="B90" s="116"/>
      <c r="C90" s="116"/>
      <c r="D90" s="116"/>
      <c r="E90" s="116"/>
      <c r="F90" s="116"/>
    </row>
    <row r="91" spans="1:6" s="106" customFormat="1" ht="19" customHeight="1" x14ac:dyDescent="0.15">
      <c r="A91" s="116"/>
      <c r="B91" s="116"/>
      <c r="C91" s="116"/>
      <c r="D91" s="116"/>
      <c r="E91" s="116"/>
      <c r="F91" s="116"/>
    </row>
    <row r="92" spans="1:6" s="106" customFormat="1" ht="19" customHeight="1" x14ac:dyDescent="0.15">
      <c r="A92" s="116"/>
      <c r="B92" s="116"/>
      <c r="C92" s="116"/>
      <c r="D92" s="116"/>
      <c r="E92" s="116"/>
      <c r="F92" s="116"/>
    </row>
    <row r="93" spans="1:6" s="106" customFormat="1" ht="19" customHeight="1" x14ac:dyDescent="0.15">
      <c r="A93" s="116"/>
      <c r="B93" s="116"/>
      <c r="C93" s="116"/>
      <c r="D93" s="116"/>
      <c r="E93" s="116"/>
      <c r="F93" s="116"/>
    </row>
    <row r="94" spans="1:6" s="106" customFormat="1" ht="19" customHeight="1" x14ac:dyDescent="0.15">
      <c r="A94" s="116"/>
      <c r="B94" s="116"/>
      <c r="C94" s="116"/>
      <c r="D94" s="116"/>
      <c r="E94" s="116"/>
      <c r="F94" s="116"/>
    </row>
    <row r="95" spans="1:6" s="106" customFormat="1" ht="19" customHeight="1" x14ac:dyDescent="0.15">
      <c r="A95" s="116"/>
      <c r="B95" s="116"/>
      <c r="C95" s="116"/>
      <c r="D95" s="116"/>
      <c r="E95" s="116"/>
      <c r="F95" s="116"/>
    </row>
    <row r="96" spans="1:6" s="106" customFormat="1" ht="19" customHeight="1" x14ac:dyDescent="0.15">
      <c r="A96" s="116"/>
      <c r="B96" s="116"/>
      <c r="C96" s="116"/>
      <c r="D96" s="116"/>
      <c r="E96" s="116"/>
      <c r="F96" s="116"/>
    </row>
    <row r="97" spans="1:6" s="106" customFormat="1" ht="19" customHeight="1" x14ac:dyDescent="0.15">
      <c r="A97" s="116"/>
      <c r="B97" s="116"/>
      <c r="C97" s="116"/>
      <c r="D97" s="116"/>
      <c r="E97" s="116"/>
      <c r="F97" s="116"/>
    </row>
    <row r="98" spans="1:6" s="106" customFormat="1" ht="19" customHeight="1" x14ac:dyDescent="0.15">
      <c r="A98" s="116"/>
      <c r="B98" s="116"/>
      <c r="C98" s="116"/>
      <c r="D98" s="116"/>
      <c r="E98" s="116"/>
      <c r="F98" s="116"/>
    </row>
    <row r="99" spans="1:6" s="106" customFormat="1" ht="19" customHeight="1" x14ac:dyDescent="0.15">
      <c r="A99" s="116"/>
      <c r="B99" s="116"/>
      <c r="C99" s="116"/>
      <c r="D99" s="116"/>
      <c r="E99" s="116"/>
      <c r="F99" s="116"/>
    </row>
    <row r="100" spans="1:6" s="106" customFormat="1" ht="19" customHeight="1" x14ac:dyDescent="0.15">
      <c r="A100" s="116"/>
      <c r="B100" s="116"/>
      <c r="C100" s="116"/>
      <c r="D100" s="116"/>
      <c r="E100" s="116"/>
      <c r="F100" s="116"/>
    </row>
    <row r="101" spans="1:6" s="106" customFormat="1" ht="19" customHeight="1" x14ac:dyDescent="0.15">
      <c r="A101" s="116"/>
      <c r="B101" s="116"/>
      <c r="C101" s="116"/>
      <c r="D101" s="116"/>
      <c r="E101" s="116"/>
      <c r="F101" s="116"/>
    </row>
    <row r="102" spans="1:6" s="106" customFormat="1" ht="19" customHeight="1" x14ac:dyDescent="0.15">
      <c r="A102" s="116"/>
      <c r="B102" s="116"/>
      <c r="C102" s="116"/>
      <c r="D102" s="116"/>
      <c r="E102" s="116"/>
      <c r="F102" s="1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G89"/>
  <sheetViews>
    <sheetView topLeftCell="B22" zoomScale="125" zoomScaleNormal="125" workbookViewId="0">
      <selection activeCell="D61" sqref="D61"/>
    </sheetView>
  </sheetViews>
  <sheetFormatPr baseColWidth="10" defaultRowHeight="13" x14ac:dyDescent="0.15"/>
  <cols>
    <col min="1" max="2" width="14.5" customWidth="1"/>
    <col min="3" max="3" width="19.6640625" customWidth="1"/>
    <col min="4" max="4" width="14.5" customWidth="1"/>
    <col min="5" max="5" width="31.33203125" customWidth="1"/>
    <col min="6" max="6" width="31.1640625" customWidth="1"/>
    <col min="7" max="7" width="36" customWidth="1"/>
  </cols>
  <sheetData>
    <row r="1" spans="1:7" ht="14" x14ac:dyDescent="0.15">
      <c r="A1" s="77" t="s">
        <v>680</v>
      </c>
      <c r="B1" s="78" t="s">
        <v>681</v>
      </c>
      <c r="C1" s="79" t="s">
        <v>229</v>
      </c>
      <c r="D1" s="80" t="s">
        <v>230</v>
      </c>
      <c r="E1" s="82" t="s">
        <v>152</v>
      </c>
      <c r="F1" s="79" t="s">
        <v>86</v>
      </c>
      <c r="G1" s="81" t="s">
        <v>802</v>
      </c>
    </row>
    <row r="2" spans="1:7" x14ac:dyDescent="0.15">
      <c r="A2" s="96">
        <v>42996</v>
      </c>
      <c r="B2" s="87" t="s">
        <v>574</v>
      </c>
      <c r="C2" s="87" t="s">
        <v>250</v>
      </c>
      <c r="D2" s="105" t="s">
        <v>1179</v>
      </c>
      <c r="E2" s="103" t="s">
        <v>1180</v>
      </c>
      <c r="F2" s="61" t="s">
        <v>727</v>
      </c>
      <c r="G2" s="81"/>
    </row>
    <row r="3" spans="1:7" ht="16" customHeight="1" x14ac:dyDescent="0.15">
      <c r="A3" s="96">
        <v>43002</v>
      </c>
      <c r="B3" s="87" t="s">
        <v>576</v>
      </c>
      <c r="C3" s="87" t="s">
        <v>1177</v>
      </c>
      <c r="D3" s="88">
        <v>250</v>
      </c>
      <c r="E3" s="87"/>
      <c r="F3" s="61" t="s">
        <v>727</v>
      </c>
      <c r="G3" s="48"/>
    </row>
    <row r="4" spans="1:7" ht="16" customHeight="1" x14ac:dyDescent="0.15">
      <c r="A4" s="97">
        <v>43009</v>
      </c>
      <c r="B4" s="62" t="s">
        <v>576</v>
      </c>
      <c r="C4" s="48" t="s">
        <v>1178</v>
      </c>
      <c r="D4" s="62">
        <v>147</v>
      </c>
      <c r="E4" s="62"/>
      <c r="F4" s="61" t="s">
        <v>727</v>
      </c>
      <c r="G4" s="48"/>
    </row>
    <row r="5" spans="1:7" ht="16" customHeight="1" x14ac:dyDescent="0.15">
      <c r="A5" s="97">
        <v>43015</v>
      </c>
      <c r="B5" s="62" t="s">
        <v>576</v>
      </c>
      <c r="C5" s="62" t="s">
        <v>520</v>
      </c>
      <c r="D5" s="62">
        <v>286</v>
      </c>
      <c r="E5" s="62"/>
      <c r="F5" s="62" t="s">
        <v>1195</v>
      </c>
      <c r="G5" s="48"/>
    </row>
    <row r="6" spans="1:7" ht="16" customHeight="1" x14ac:dyDescent="0.15">
      <c r="A6" s="97">
        <v>43016</v>
      </c>
      <c r="B6" s="62" t="s">
        <v>576</v>
      </c>
      <c r="C6" s="62" t="s">
        <v>1190</v>
      </c>
      <c r="D6" s="62">
        <v>57</v>
      </c>
      <c r="E6" s="62"/>
      <c r="F6" s="62" t="s">
        <v>88</v>
      </c>
      <c r="G6" s="48"/>
    </row>
    <row r="7" spans="1:7" ht="16" customHeight="1" x14ac:dyDescent="0.15">
      <c r="A7" s="97">
        <v>43017</v>
      </c>
      <c r="B7" s="62" t="s">
        <v>916</v>
      </c>
      <c r="C7" s="62" t="s">
        <v>520</v>
      </c>
      <c r="D7" s="62">
        <v>252</v>
      </c>
      <c r="E7" s="62"/>
      <c r="F7" s="62" t="s">
        <v>1195</v>
      </c>
      <c r="G7" s="48"/>
    </row>
    <row r="8" spans="1:7" ht="16" customHeight="1" x14ac:dyDescent="0.15">
      <c r="A8" s="97">
        <v>43020</v>
      </c>
      <c r="B8" s="102" t="s">
        <v>1096</v>
      </c>
      <c r="C8" s="62" t="s">
        <v>56</v>
      </c>
      <c r="D8" s="76">
        <v>56</v>
      </c>
      <c r="E8" s="62"/>
      <c r="F8" s="62" t="s">
        <v>88</v>
      </c>
      <c r="G8" s="48"/>
    </row>
    <row r="9" spans="1:7" ht="16" customHeight="1" x14ac:dyDescent="0.15">
      <c r="A9" s="97">
        <v>42305</v>
      </c>
      <c r="B9" s="62" t="s">
        <v>619</v>
      </c>
      <c r="C9" s="62" t="s">
        <v>56</v>
      </c>
      <c r="D9" s="62">
        <v>42</v>
      </c>
      <c r="E9" s="62"/>
      <c r="F9" s="62" t="s">
        <v>88</v>
      </c>
      <c r="G9" s="48"/>
    </row>
    <row r="10" spans="1:7" ht="16" customHeight="1" x14ac:dyDescent="0.15">
      <c r="A10" s="97">
        <v>43037</v>
      </c>
      <c r="B10" s="62" t="s">
        <v>1181</v>
      </c>
      <c r="C10" s="62" t="s">
        <v>1182</v>
      </c>
      <c r="D10" s="62">
        <v>100</v>
      </c>
      <c r="E10" s="62"/>
      <c r="F10" s="61" t="s">
        <v>727</v>
      </c>
      <c r="G10" s="48"/>
    </row>
    <row r="11" spans="1:7" ht="16" customHeight="1" x14ac:dyDescent="0.15">
      <c r="A11" s="97">
        <v>43041</v>
      </c>
      <c r="B11" s="65" t="s">
        <v>594</v>
      </c>
      <c r="C11" s="62" t="s">
        <v>56</v>
      </c>
      <c r="D11" s="62">
        <v>23</v>
      </c>
      <c r="E11" s="62"/>
      <c r="F11" s="62" t="s">
        <v>88</v>
      </c>
      <c r="G11" s="48"/>
    </row>
    <row r="12" spans="1:7" ht="16" customHeight="1" x14ac:dyDescent="0.15">
      <c r="A12" s="97">
        <v>43043</v>
      </c>
      <c r="B12" s="65" t="s">
        <v>576</v>
      </c>
      <c r="C12" s="62" t="s">
        <v>1183</v>
      </c>
      <c r="D12" s="62">
        <v>50</v>
      </c>
      <c r="E12" s="62"/>
      <c r="F12" s="62" t="s">
        <v>88</v>
      </c>
      <c r="G12" s="48"/>
    </row>
    <row r="13" spans="1:7" ht="16" customHeight="1" x14ac:dyDescent="0.15">
      <c r="A13" s="97">
        <v>43044</v>
      </c>
      <c r="B13" s="65" t="s">
        <v>576</v>
      </c>
      <c r="C13" s="62" t="s">
        <v>1184</v>
      </c>
      <c r="D13" s="104" t="s">
        <v>1185</v>
      </c>
      <c r="E13" s="62"/>
      <c r="F13" s="61" t="s">
        <v>727</v>
      </c>
      <c r="G13" s="48"/>
    </row>
    <row r="14" spans="1:7" ht="16" customHeight="1" x14ac:dyDescent="0.15">
      <c r="A14" s="97">
        <v>43045</v>
      </c>
      <c r="B14" s="62" t="s">
        <v>574</v>
      </c>
      <c r="C14" s="62" t="s">
        <v>1186</v>
      </c>
      <c r="D14" s="62">
        <v>115</v>
      </c>
      <c r="E14" s="62"/>
      <c r="F14" s="62" t="s">
        <v>88</v>
      </c>
      <c r="G14" s="48"/>
    </row>
    <row r="15" spans="1:7" ht="16" customHeight="1" x14ac:dyDescent="0.15">
      <c r="A15" s="97">
        <v>43050</v>
      </c>
      <c r="B15" s="62" t="s">
        <v>576</v>
      </c>
      <c r="C15" s="62" t="s">
        <v>382</v>
      </c>
      <c r="D15" s="62">
        <v>150</v>
      </c>
      <c r="E15" s="62" t="s">
        <v>1189</v>
      </c>
      <c r="F15" s="62" t="s">
        <v>1194</v>
      </c>
      <c r="G15" s="48"/>
    </row>
    <row r="16" spans="1:7" ht="16" customHeight="1" x14ac:dyDescent="0.15">
      <c r="A16" s="97">
        <v>43052</v>
      </c>
      <c r="B16" s="62" t="s">
        <v>574</v>
      </c>
      <c r="C16" s="62" t="s">
        <v>382</v>
      </c>
      <c r="D16" s="62">
        <v>125</v>
      </c>
      <c r="E16" s="62" t="s">
        <v>1189</v>
      </c>
      <c r="F16" s="62" t="s">
        <v>1194</v>
      </c>
      <c r="G16" s="48"/>
    </row>
    <row r="17" spans="1:7" ht="15" customHeight="1" x14ac:dyDescent="0.15">
      <c r="A17" s="97">
        <v>43051</v>
      </c>
      <c r="B17" s="62" t="s">
        <v>574</v>
      </c>
      <c r="C17" s="62" t="s">
        <v>413</v>
      </c>
      <c r="D17" s="62">
        <v>299</v>
      </c>
      <c r="E17" s="62" t="s">
        <v>1189</v>
      </c>
      <c r="F17" s="62" t="s">
        <v>1187</v>
      </c>
      <c r="G17" s="48"/>
    </row>
    <row r="18" spans="1:7" ht="16" customHeight="1" x14ac:dyDescent="0.15">
      <c r="A18" s="97">
        <v>43055</v>
      </c>
      <c r="B18" s="62" t="s">
        <v>1096</v>
      </c>
      <c r="C18" s="62" t="s">
        <v>56</v>
      </c>
      <c r="D18" s="76">
        <v>34</v>
      </c>
      <c r="E18" s="62"/>
      <c r="F18" s="62" t="s">
        <v>88</v>
      </c>
      <c r="G18" s="48"/>
    </row>
    <row r="19" spans="1:7" ht="16" customHeight="1" x14ac:dyDescent="0.15">
      <c r="A19" s="97">
        <v>43057</v>
      </c>
      <c r="B19" s="62" t="s">
        <v>576</v>
      </c>
      <c r="C19" s="62" t="s">
        <v>520</v>
      </c>
      <c r="D19" s="62">
        <v>238</v>
      </c>
      <c r="E19" s="62"/>
      <c r="F19" s="61" t="s">
        <v>727</v>
      </c>
      <c r="G19" s="48"/>
    </row>
    <row r="20" spans="1:7" ht="16" customHeight="1" x14ac:dyDescent="0.15">
      <c r="A20" s="97">
        <v>43058</v>
      </c>
      <c r="B20" s="62"/>
      <c r="C20" s="62" t="s">
        <v>1191</v>
      </c>
      <c r="D20" s="62">
        <v>54</v>
      </c>
      <c r="E20" s="62"/>
      <c r="F20" s="62" t="s">
        <v>88</v>
      </c>
      <c r="G20" s="48"/>
    </row>
    <row r="21" spans="1:7" ht="16" customHeight="1" x14ac:dyDescent="0.15">
      <c r="A21" s="97">
        <v>43059</v>
      </c>
      <c r="B21" s="62" t="s">
        <v>574</v>
      </c>
      <c r="C21" s="62" t="s">
        <v>520</v>
      </c>
      <c r="D21" s="62">
        <v>239</v>
      </c>
      <c r="E21" s="98"/>
      <c r="F21" s="61" t="s">
        <v>727</v>
      </c>
      <c r="G21" s="48"/>
    </row>
    <row r="22" spans="1:7" ht="16" customHeight="1" x14ac:dyDescent="0.15">
      <c r="A22" s="97">
        <v>43067</v>
      </c>
      <c r="B22" s="62" t="s">
        <v>576</v>
      </c>
      <c r="C22" s="62" t="s">
        <v>935</v>
      </c>
      <c r="D22" s="76">
        <v>148</v>
      </c>
      <c r="E22" s="62"/>
      <c r="F22" s="61" t="s">
        <v>727</v>
      </c>
      <c r="G22" s="48"/>
    </row>
    <row r="23" spans="1:7" ht="16" customHeight="1" x14ac:dyDescent="0.15">
      <c r="A23" s="97">
        <v>43071</v>
      </c>
      <c r="B23" s="62" t="s">
        <v>576</v>
      </c>
      <c r="C23" s="62" t="s">
        <v>392</v>
      </c>
      <c r="D23" s="76">
        <v>151</v>
      </c>
      <c r="E23" s="62" t="s">
        <v>1188</v>
      </c>
      <c r="F23" s="61" t="s">
        <v>727</v>
      </c>
      <c r="G23" s="48"/>
    </row>
    <row r="24" spans="1:7" ht="16" customHeight="1" x14ac:dyDescent="0.15">
      <c r="A24" s="97">
        <v>43073</v>
      </c>
      <c r="B24" s="62" t="s">
        <v>574</v>
      </c>
      <c r="C24" s="62" t="s">
        <v>392</v>
      </c>
      <c r="D24" s="62">
        <v>170</v>
      </c>
      <c r="E24" s="62" t="s">
        <v>1188</v>
      </c>
      <c r="F24" s="61" t="s">
        <v>727</v>
      </c>
      <c r="G24" s="48"/>
    </row>
    <row r="25" spans="1:7" ht="16" customHeight="1" x14ac:dyDescent="0.15">
      <c r="A25" s="97">
        <v>43074</v>
      </c>
      <c r="B25" s="62" t="s">
        <v>576</v>
      </c>
      <c r="C25" s="62" t="s">
        <v>484</v>
      </c>
      <c r="D25" s="62">
        <v>115</v>
      </c>
      <c r="E25" s="62"/>
      <c r="F25" s="61" t="s">
        <v>727</v>
      </c>
      <c r="G25" s="48"/>
    </row>
    <row r="26" spans="1:7" ht="16" customHeight="1" x14ac:dyDescent="0.15">
      <c r="A26" s="97">
        <v>43075</v>
      </c>
      <c r="B26" s="62" t="s">
        <v>608</v>
      </c>
      <c r="C26" s="62" t="s">
        <v>56</v>
      </c>
      <c r="D26" s="62">
        <v>52</v>
      </c>
      <c r="E26" s="62"/>
      <c r="F26" s="62" t="s">
        <v>88</v>
      </c>
      <c r="G26" s="48"/>
    </row>
    <row r="27" spans="1:7" ht="16" customHeight="1" x14ac:dyDescent="0.15">
      <c r="A27" s="97">
        <v>43076</v>
      </c>
      <c r="B27" s="62" t="s">
        <v>608</v>
      </c>
      <c r="C27" s="75" t="s">
        <v>56</v>
      </c>
      <c r="D27" s="62">
        <v>61</v>
      </c>
      <c r="E27" s="62"/>
      <c r="F27" s="62" t="s">
        <v>88</v>
      </c>
      <c r="G27" s="48"/>
    </row>
    <row r="28" spans="1:7" x14ac:dyDescent="0.15">
      <c r="A28" s="63"/>
      <c r="B28" s="63"/>
      <c r="C28" s="63"/>
      <c r="D28" s="63"/>
      <c r="E28" s="63"/>
      <c r="F28" s="63"/>
      <c r="G28" s="48"/>
    </row>
    <row r="29" spans="1:7" x14ac:dyDescent="0.15">
      <c r="A29" s="48"/>
      <c r="B29" s="48"/>
      <c r="C29" s="48"/>
      <c r="D29" s="48"/>
      <c r="E29" s="48"/>
      <c r="F29" s="48"/>
      <c r="G29" s="48"/>
    </row>
    <row r="30" spans="1:7" ht="16" customHeight="1" x14ac:dyDescent="0.15">
      <c r="A30" s="95">
        <v>43136</v>
      </c>
      <c r="B30" s="61" t="s">
        <v>574</v>
      </c>
      <c r="C30" s="61" t="s">
        <v>250</v>
      </c>
      <c r="D30" s="105" t="s">
        <v>1179</v>
      </c>
      <c r="E30" s="103" t="s">
        <v>1180</v>
      </c>
      <c r="F30" s="61" t="s">
        <v>727</v>
      </c>
      <c r="G30" s="48"/>
    </row>
    <row r="31" spans="1:7" ht="16" customHeight="1" x14ac:dyDescent="0.15">
      <c r="A31" s="97">
        <v>43141</v>
      </c>
      <c r="B31" s="62" t="s">
        <v>576</v>
      </c>
      <c r="C31" s="62" t="s">
        <v>937</v>
      </c>
      <c r="D31" s="105" t="s">
        <v>1179</v>
      </c>
      <c r="E31" s="103" t="s">
        <v>1180</v>
      </c>
      <c r="F31" s="62" t="s">
        <v>88</v>
      </c>
      <c r="G31" s="48"/>
    </row>
    <row r="32" spans="1:7" ht="16" customHeight="1" x14ac:dyDescent="0.15">
      <c r="A32" s="97">
        <v>43142</v>
      </c>
      <c r="B32" s="62" t="s">
        <v>574</v>
      </c>
      <c r="C32" s="62" t="s">
        <v>938</v>
      </c>
      <c r="D32" s="105" t="s">
        <v>1179</v>
      </c>
      <c r="E32" s="103" t="s">
        <v>1180</v>
      </c>
      <c r="F32" s="62" t="s">
        <v>88</v>
      </c>
      <c r="G32" s="48"/>
    </row>
    <row r="33" spans="1:7" ht="16" customHeight="1" x14ac:dyDescent="0.15">
      <c r="A33" s="97">
        <v>42400</v>
      </c>
      <c r="B33" s="62" t="s">
        <v>576</v>
      </c>
      <c r="C33" s="62" t="s">
        <v>939</v>
      </c>
      <c r="D33" s="105" t="s">
        <v>1179</v>
      </c>
      <c r="E33" s="103" t="s">
        <v>1180</v>
      </c>
      <c r="F33" s="62" t="s">
        <v>88</v>
      </c>
      <c r="G33" s="48"/>
    </row>
    <row r="34" spans="1:7" ht="16" customHeight="1" x14ac:dyDescent="0.15">
      <c r="A34" s="97">
        <v>43148</v>
      </c>
      <c r="B34" s="102" t="s">
        <v>619</v>
      </c>
      <c r="C34" s="62" t="s">
        <v>56</v>
      </c>
      <c r="D34" s="105" t="s">
        <v>1179</v>
      </c>
      <c r="E34" s="103" t="s">
        <v>1180</v>
      </c>
      <c r="F34" s="62" t="s">
        <v>88</v>
      </c>
      <c r="G34" s="48"/>
    </row>
    <row r="35" spans="1:7" ht="16" customHeight="1" x14ac:dyDescent="0.15">
      <c r="A35" s="97">
        <v>43149</v>
      </c>
      <c r="B35" s="62" t="s">
        <v>576</v>
      </c>
      <c r="C35" s="62" t="s">
        <v>1192</v>
      </c>
      <c r="D35" s="62">
        <v>119</v>
      </c>
      <c r="E35" s="62"/>
      <c r="F35" s="62" t="s">
        <v>88</v>
      </c>
      <c r="G35" s="48"/>
    </row>
    <row r="36" spans="1:7" ht="16" customHeight="1" x14ac:dyDescent="0.15">
      <c r="A36" s="97">
        <v>43150</v>
      </c>
      <c r="B36" s="62" t="s">
        <v>574</v>
      </c>
      <c r="C36" s="62" t="s">
        <v>1193</v>
      </c>
      <c r="D36" s="62">
        <v>94</v>
      </c>
      <c r="E36" s="62"/>
      <c r="F36" s="61" t="s">
        <v>727</v>
      </c>
      <c r="G36" s="48"/>
    </row>
    <row r="37" spans="1:7" ht="16" customHeight="1" x14ac:dyDescent="0.15">
      <c r="A37" s="97">
        <v>43155</v>
      </c>
      <c r="B37" s="62" t="s">
        <v>576</v>
      </c>
      <c r="C37" s="62" t="s">
        <v>520</v>
      </c>
      <c r="D37" s="62">
        <v>218</v>
      </c>
      <c r="E37" s="62"/>
      <c r="F37" s="61" t="s">
        <v>727</v>
      </c>
      <c r="G37" s="48"/>
    </row>
    <row r="38" spans="1:7" ht="16" customHeight="1" x14ac:dyDescent="0.15">
      <c r="A38" s="97">
        <v>43157</v>
      </c>
      <c r="B38" s="62" t="s">
        <v>574</v>
      </c>
      <c r="C38" s="62" t="s">
        <v>520</v>
      </c>
      <c r="D38" s="62">
        <v>221</v>
      </c>
      <c r="E38" s="62"/>
      <c r="F38" s="61" t="s">
        <v>727</v>
      </c>
      <c r="G38" s="48"/>
    </row>
    <row r="39" spans="1:7" ht="16" customHeight="1" x14ac:dyDescent="0.15">
      <c r="A39" s="97">
        <v>43160</v>
      </c>
      <c r="B39" s="62" t="s">
        <v>1096</v>
      </c>
      <c r="C39" s="62" t="s">
        <v>56</v>
      </c>
      <c r="D39" s="93">
        <v>53</v>
      </c>
      <c r="E39" s="62"/>
      <c r="F39" s="62" t="s">
        <v>88</v>
      </c>
      <c r="G39" s="48"/>
    </row>
    <row r="40" spans="1:7" ht="16" customHeight="1" x14ac:dyDescent="0.15">
      <c r="A40" s="97">
        <v>43166</v>
      </c>
      <c r="B40" s="62" t="s">
        <v>638</v>
      </c>
      <c r="C40" s="62" t="s">
        <v>956</v>
      </c>
      <c r="D40" s="76" t="s">
        <v>1198</v>
      </c>
      <c r="E40" s="62"/>
      <c r="F40" s="62" t="s">
        <v>1194</v>
      </c>
      <c r="G40" s="48"/>
    </row>
    <row r="41" spans="1:7" ht="16" customHeight="1" x14ac:dyDescent="0.15">
      <c r="A41" s="97">
        <v>43185</v>
      </c>
      <c r="B41" s="62" t="s">
        <v>574</v>
      </c>
      <c r="C41" s="62" t="s">
        <v>1182</v>
      </c>
      <c r="D41" s="62">
        <v>123</v>
      </c>
      <c r="E41" s="62"/>
      <c r="F41" s="61" t="s">
        <v>727</v>
      </c>
      <c r="G41" s="48"/>
    </row>
    <row r="42" spans="1:7" ht="16" customHeight="1" x14ac:dyDescent="0.15">
      <c r="A42" s="97">
        <v>43188</v>
      </c>
      <c r="B42" s="62" t="s">
        <v>1096</v>
      </c>
      <c r="C42" s="62" t="s">
        <v>56</v>
      </c>
      <c r="D42" s="62">
        <v>29</v>
      </c>
      <c r="E42" s="62"/>
      <c r="F42" s="62" t="s">
        <v>88</v>
      </c>
      <c r="G42" s="48"/>
    </row>
    <row r="43" spans="1:7" ht="16" customHeight="1" x14ac:dyDescent="0.15">
      <c r="A43" s="97">
        <v>43190</v>
      </c>
      <c r="B43" s="62" t="s">
        <v>576</v>
      </c>
      <c r="C43" s="62" t="s">
        <v>1196</v>
      </c>
      <c r="D43" s="62">
        <v>88</v>
      </c>
      <c r="E43" s="62"/>
      <c r="F43" s="62" t="s">
        <v>88</v>
      </c>
      <c r="G43" s="48"/>
    </row>
    <row r="44" spans="1:7" ht="16" customHeight="1" x14ac:dyDescent="0.15">
      <c r="A44" s="97">
        <v>43191</v>
      </c>
      <c r="B44" s="62" t="s">
        <v>576</v>
      </c>
      <c r="C44" s="62" t="s">
        <v>1086</v>
      </c>
      <c r="D44" s="62">
        <v>65</v>
      </c>
      <c r="E44" s="62"/>
      <c r="F44" s="62" t="s">
        <v>88</v>
      </c>
      <c r="G44" s="48"/>
    </row>
    <row r="45" spans="1:7" ht="16" customHeight="1" x14ac:dyDescent="0.15">
      <c r="A45" s="97">
        <v>43192</v>
      </c>
      <c r="B45" s="62" t="s">
        <v>896</v>
      </c>
      <c r="C45" s="62" t="s">
        <v>1197</v>
      </c>
      <c r="D45" s="62">
        <v>34</v>
      </c>
      <c r="E45" s="62"/>
      <c r="F45" s="62" t="s">
        <v>88</v>
      </c>
      <c r="G45" s="48"/>
    </row>
    <row r="46" spans="1:7" ht="16" customHeight="1" x14ac:dyDescent="0.15">
      <c r="A46" s="97">
        <v>43199</v>
      </c>
      <c r="B46" s="62" t="s">
        <v>574</v>
      </c>
      <c r="C46" s="62" t="s">
        <v>1210</v>
      </c>
      <c r="D46" s="62">
        <v>29</v>
      </c>
      <c r="E46" s="62"/>
      <c r="F46" s="62" t="s">
        <v>88</v>
      </c>
      <c r="G46" s="48"/>
    </row>
    <row r="47" spans="1:7" ht="16" customHeight="1" x14ac:dyDescent="0.15">
      <c r="A47" s="97">
        <v>43204</v>
      </c>
      <c r="B47" s="62" t="s">
        <v>576</v>
      </c>
      <c r="C47" s="62" t="s">
        <v>963</v>
      </c>
      <c r="D47" s="62">
        <v>231</v>
      </c>
      <c r="E47" s="62" t="s">
        <v>1212</v>
      </c>
      <c r="F47" s="62" t="s">
        <v>727</v>
      </c>
      <c r="G47" s="48"/>
    </row>
    <row r="48" spans="1:7" ht="16" customHeight="1" x14ac:dyDescent="0.15">
      <c r="A48" s="97">
        <v>43206</v>
      </c>
      <c r="B48" s="62" t="s">
        <v>574</v>
      </c>
      <c r="C48" s="62" t="s">
        <v>963</v>
      </c>
      <c r="D48" s="62">
        <v>223</v>
      </c>
      <c r="E48" s="62" t="s">
        <v>1199</v>
      </c>
      <c r="F48" s="62" t="s">
        <v>727</v>
      </c>
      <c r="G48" s="48"/>
    </row>
    <row r="49" spans="1:7" ht="16" customHeight="1" x14ac:dyDescent="0.15">
      <c r="A49" s="97">
        <v>43209</v>
      </c>
      <c r="B49" s="102" t="s">
        <v>1096</v>
      </c>
      <c r="C49" s="62" t="s">
        <v>56</v>
      </c>
      <c r="D49" s="62">
        <v>50</v>
      </c>
      <c r="E49" s="62"/>
      <c r="F49" s="62" t="s">
        <v>88</v>
      </c>
      <c r="G49" s="48"/>
    </row>
    <row r="50" spans="1:7" ht="16" customHeight="1" x14ac:dyDescent="0.15">
      <c r="A50" s="97">
        <v>43211</v>
      </c>
      <c r="B50" s="62" t="s">
        <v>576</v>
      </c>
      <c r="C50" s="62" t="s">
        <v>235</v>
      </c>
      <c r="D50" s="62">
        <v>95</v>
      </c>
      <c r="E50" s="62"/>
      <c r="F50" s="62" t="s">
        <v>1194</v>
      </c>
      <c r="G50" s="48"/>
    </row>
    <row r="51" spans="1:7" ht="16" customHeight="1" x14ac:dyDescent="0.15">
      <c r="A51" s="97">
        <v>43213</v>
      </c>
      <c r="B51" s="62" t="s">
        <v>574</v>
      </c>
      <c r="C51" s="62" t="s">
        <v>235</v>
      </c>
      <c r="D51" s="62">
        <v>122</v>
      </c>
      <c r="E51" s="62"/>
      <c r="F51" s="62" t="s">
        <v>1194</v>
      </c>
      <c r="G51" s="48"/>
    </row>
    <row r="52" spans="1:7" ht="16" customHeight="1" x14ac:dyDescent="0.15">
      <c r="A52" s="97">
        <v>43214</v>
      </c>
      <c r="B52" s="62" t="s">
        <v>576</v>
      </c>
      <c r="C52" s="62" t="s">
        <v>532</v>
      </c>
      <c r="D52" s="62">
        <v>78</v>
      </c>
      <c r="E52" s="62"/>
      <c r="F52" s="62" t="s">
        <v>727</v>
      </c>
      <c r="G52" s="48"/>
    </row>
    <row r="53" spans="1:7" ht="16" customHeight="1" x14ac:dyDescent="0.15">
      <c r="A53" s="97">
        <v>43217</v>
      </c>
      <c r="B53" s="62" t="s">
        <v>576</v>
      </c>
      <c r="C53" s="62" t="s">
        <v>967</v>
      </c>
      <c r="D53" s="62">
        <v>158</v>
      </c>
      <c r="E53" s="62"/>
      <c r="F53" s="62" t="s">
        <v>727</v>
      </c>
      <c r="G53" s="48"/>
    </row>
    <row r="54" spans="1:7" ht="16" customHeight="1" x14ac:dyDescent="0.15">
      <c r="A54" s="97">
        <v>43218</v>
      </c>
      <c r="B54" s="62" t="s">
        <v>576</v>
      </c>
      <c r="C54" s="62" t="s">
        <v>413</v>
      </c>
      <c r="D54" s="62">
        <v>351</v>
      </c>
      <c r="E54" s="62"/>
      <c r="F54" s="62" t="s">
        <v>727</v>
      </c>
      <c r="G54" s="48"/>
    </row>
    <row r="55" spans="1:7" ht="16" customHeight="1" x14ac:dyDescent="0.15">
      <c r="A55" s="97">
        <v>43219</v>
      </c>
      <c r="B55" s="62" t="s">
        <v>671</v>
      </c>
      <c r="C55" s="62" t="s">
        <v>967</v>
      </c>
      <c r="D55" s="62">
        <v>289</v>
      </c>
      <c r="E55" s="62"/>
      <c r="F55" s="62" t="s">
        <v>727</v>
      </c>
      <c r="G55" s="48"/>
    </row>
    <row r="56" spans="1:7" ht="16" customHeight="1" x14ac:dyDescent="0.15">
      <c r="A56" s="97">
        <v>43220</v>
      </c>
      <c r="B56" s="62" t="s">
        <v>574</v>
      </c>
      <c r="C56" s="62" t="s">
        <v>1211</v>
      </c>
      <c r="D56" s="62">
        <v>84</v>
      </c>
      <c r="E56" s="62"/>
      <c r="F56" s="62" t="s">
        <v>88</v>
      </c>
      <c r="G56" s="48"/>
    </row>
    <row r="57" spans="1:7" ht="16" customHeight="1" x14ac:dyDescent="0.15">
      <c r="A57" s="97">
        <v>43221</v>
      </c>
      <c r="B57" s="62" t="s">
        <v>576</v>
      </c>
      <c r="C57" s="62" t="s">
        <v>484</v>
      </c>
      <c r="D57" s="62">
        <v>143</v>
      </c>
      <c r="E57" s="62"/>
      <c r="F57" s="62" t="s">
        <v>727</v>
      </c>
      <c r="G57" s="48"/>
    </row>
    <row r="58" spans="1:7" ht="16" customHeight="1" x14ac:dyDescent="0.15">
      <c r="A58" s="97">
        <v>43222</v>
      </c>
      <c r="B58" s="62" t="s">
        <v>608</v>
      </c>
      <c r="C58" s="62" t="s">
        <v>56</v>
      </c>
      <c r="D58" s="62">
        <v>105</v>
      </c>
      <c r="E58" s="62" t="s">
        <v>1200</v>
      </c>
      <c r="F58" s="62" t="s">
        <v>727</v>
      </c>
      <c r="G58" s="48"/>
    </row>
    <row r="59" spans="1:7" ht="16" customHeight="1" x14ac:dyDescent="0.15">
      <c r="A59" s="97">
        <v>43223</v>
      </c>
      <c r="B59" s="62" t="s">
        <v>608</v>
      </c>
      <c r="C59" s="62" t="s">
        <v>56</v>
      </c>
      <c r="D59" s="62">
        <v>59</v>
      </c>
      <c r="E59" s="62"/>
      <c r="F59" s="62" t="s">
        <v>88</v>
      </c>
      <c r="G59" s="48"/>
    </row>
    <row r="60" spans="1:7" ht="16" customHeight="1" x14ac:dyDescent="0.15">
      <c r="A60" s="97">
        <v>43232</v>
      </c>
      <c r="B60" s="62"/>
      <c r="C60" s="62" t="s">
        <v>1137</v>
      </c>
      <c r="D60" s="76" t="s">
        <v>717</v>
      </c>
      <c r="E60" s="62"/>
      <c r="F60" s="62" t="s">
        <v>727</v>
      </c>
      <c r="G60" s="48"/>
    </row>
    <row r="61" spans="1:7" ht="16" customHeight="1" x14ac:dyDescent="0.15">
      <c r="A61" s="97">
        <v>43235</v>
      </c>
      <c r="B61" s="102"/>
      <c r="C61" s="62" t="s">
        <v>1201</v>
      </c>
      <c r="D61" s="62">
        <v>35</v>
      </c>
      <c r="E61" s="62"/>
      <c r="F61" s="62" t="s">
        <v>1204</v>
      </c>
      <c r="G61" s="48"/>
    </row>
    <row r="62" spans="1:7" ht="16" customHeight="1" x14ac:dyDescent="0.15">
      <c r="A62" s="97">
        <v>43239</v>
      </c>
      <c r="B62" s="62"/>
      <c r="C62" s="62" t="s">
        <v>1202</v>
      </c>
      <c r="D62" s="62">
        <v>95</v>
      </c>
      <c r="E62" s="62"/>
      <c r="F62" s="62" t="s">
        <v>1205</v>
      </c>
      <c r="G62" s="48"/>
    </row>
    <row r="63" spans="1:7" ht="16" customHeight="1" x14ac:dyDescent="0.15">
      <c r="A63" s="97">
        <v>43241</v>
      </c>
      <c r="B63" s="62"/>
      <c r="C63" s="62" t="s">
        <v>1203</v>
      </c>
      <c r="D63" s="62">
        <v>69</v>
      </c>
      <c r="E63" s="62"/>
      <c r="F63" s="62" t="s">
        <v>1206</v>
      </c>
      <c r="G63" s="48"/>
    </row>
    <row r="64" spans="1:7" ht="16" customHeight="1" x14ac:dyDescent="0.15">
      <c r="A64" s="97">
        <v>43237</v>
      </c>
      <c r="B64" s="62"/>
      <c r="C64" s="62" t="s">
        <v>1207</v>
      </c>
      <c r="D64" s="76" t="s">
        <v>535</v>
      </c>
      <c r="E64" s="62" t="s">
        <v>1208</v>
      </c>
      <c r="F64" s="62" t="s">
        <v>1209</v>
      </c>
      <c r="G64" s="48"/>
    </row>
    <row r="65" spans="1:7" x14ac:dyDescent="0.15">
      <c r="A65" s="48"/>
      <c r="B65" s="48"/>
      <c r="C65" s="48"/>
      <c r="D65" s="48"/>
      <c r="E65" s="48"/>
      <c r="F65" s="48"/>
      <c r="G65" s="48"/>
    </row>
    <row r="66" spans="1:7" x14ac:dyDescent="0.15">
      <c r="A66" s="48"/>
      <c r="B66" s="48"/>
      <c r="C66" s="48"/>
      <c r="D66" s="48"/>
      <c r="E66" s="48"/>
      <c r="F66" s="48"/>
      <c r="G66" s="48"/>
    </row>
    <row r="67" spans="1:7" x14ac:dyDescent="0.15">
      <c r="A67" s="48"/>
      <c r="B67" s="48"/>
      <c r="C67" s="48"/>
      <c r="D67" s="48"/>
      <c r="E67" s="48"/>
      <c r="F67" s="48"/>
      <c r="G67" s="48"/>
    </row>
    <row r="68" spans="1:7" x14ac:dyDescent="0.15">
      <c r="A68" s="48"/>
      <c r="B68" s="48"/>
      <c r="C68" s="48"/>
      <c r="D68" s="48"/>
      <c r="E68" s="48"/>
      <c r="F68" s="48"/>
      <c r="G68" s="48"/>
    </row>
    <row r="69" spans="1:7" x14ac:dyDescent="0.15">
      <c r="A69" s="48"/>
      <c r="B69" s="48"/>
      <c r="C69" s="48"/>
      <c r="D69" s="48"/>
      <c r="E69" s="48"/>
      <c r="F69" s="48"/>
      <c r="G69" s="48"/>
    </row>
    <row r="70" spans="1:7" x14ac:dyDescent="0.15">
      <c r="A70" s="48"/>
      <c r="B70" s="48"/>
      <c r="C70" s="48"/>
      <c r="D70" s="48"/>
      <c r="E70" s="48"/>
      <c r="F70" s="48"/>
      <c r="G70" s="48"/>
    </row>
    <row r="71" spans="1:7" x14ac:dyDescent="0.15">
      <c r="A71" s="48"/>
      <c r="B71" s="48"/>
      <c r="C71" s="48"/>
      <c r="D71" s="48"/>
      <c r="E71" s="48"/>
      <c r="F71" s="48"/>
      <c r="G71" s="48"/>
    </row>
    <row r="72" spans="1:7" x14ac:dyDescent="0.15">
      <c r="A72" s="48"/>
      <c r="B72" s="48"/>
      <c r="C72" s="48"/>
      <c r="D72" s="48"/>
      <c r="E72" s="48"/>
      <c r="F72" s="48"/>
      <c r="G72" s="48"/>
    </row>
    <row r="73" spans="1:7" x14ac:dyDescent="0.15">
      <c r="A73" s="48"/>
      <c r="B73" s="48"/>
      <c r="C73" s="48"/>
      <c r="D73" s="48"/>
      <c r="E73" s="48"/>
      <c r="F73" s="48"/>
      <c r="G73" s="48"/>
    </row>
    <row r="74" spans="1:7" x14ac:dyDescent="0.15">
      <c r="A74" s="48"/>
      <c r="B74" s="48"/>
      <c r="C74" s="48"/>
      <c r="D74" s="48"/>
      <c r="E74" s="48"/>
      <c r="F74" s="48"/>
      <c r="G74" s="48"/>
    </row>
    <row r="75" spans="1:7" x14ac:dyDescent="0.15">
      <c r="A75" s="48"/>
      <c r="B75" s="48"/>
      <c r="C75" s="48"/>
      <c r="D75" s="48"/>
      <c r="E75" s="48"/>
      <c r="F75" s="48"/>
      <c r="G75" s="48"/>
    </row>
    <row r="76" spans="1:7" x14ac:dyDescent="0.15">
      <c r="A76" s="48"/>
      <c r="B76" s="48"/>
      <c r="C76" s="48"/>
      <c r="D76" s="48"/>
      <c r="E76" s="48"/>
      <c r="F76" s="48"/>
      <c r="G76" s="48"/>
    </row>
    <row r="77" spans="1:7" x14ac:dyDescent="0.15">
      <c r="A77" s="48"/>
      <c r="B77" s="48"/>
      <c r="C77" s="48"/>
      <c r="D77" s="48"/>
      <c r="E77" s="48"/>
      <c r="F77" s="48"/>
      <c r="G77" s="48"/>
    </row>
    <row r="78" spans="1:7" x14ac:dyDescent="0.15">
      <c r="A78" s="48"/>
      <c r="B78" s="48"/>
      <c r="C78" s="48"/>
      <c r="D78" s="48"/>
      <c r="E78" s="48"/>
      <c r="F78" s="48"/>
      <c r="G78" s="48"/>
    </row>
    <row r="79" spans="1:7" x14ac:dyDescent="0.15">
      <c r="A79" s="48"/>
      <c r="B79" s="48"/>
      <c r="C79" s="48"/>
      <c r="D79" s="48"/>
      <c r="E79" s="48"/>
      <c r="F79" s="48"/>
      <c r="G79" s="48"/>
    </row>
    <row r="80" spans="1:7" x14ac:dyDescent="0.15">
      <c r="A80" s="48"/>
      <c r="B80" s="48"/>
      <c r="C80" s="48"/>
      <c r="D80" s="48"/>
      <c r="E80" s="48"/>
      <c r="F80" s="48"/>
      <c r="G80" s="48"/>
    </row>
    <row r="81" spans="1:7" x14ac:dyDescent="0.15">
      <c r="A81" s="48"/>
      <c r="B81" s="48"/>
      <c r="C81" s="48"/>
      <c r="D81" s="48"/>
      <c r="E81" s="48"/>
      <c r="F81" s="48"/>
      <c r="G81" s="48"/>
    </row>
    <row r="82" spans="1:7" x14ac:dyDescent="0.15">
      <c r="A82" s="48"/>
      <c r="B82" s="48"/>
      <c r="C82" s="48"/>
      <c r="D82" s="48"/>
      <c r="E82" s="48"/>
      <c r="F82" s="48"/>
      <c r="G82" s="48"/>
    </row>
    <row r="83" spans="1:7" x14ac:dyDescent="0.15">
      <c r="A83" s="48"/>
      <c r="B83" s="48"/>
      <c r="C83" s="48"/>
      <c r="D83" s="48"/>
      <c r="E83" s="48"/>
      <c r="F83" s="48"/>
      <c r="G83" s="48"/>
    </row>
    <row r="84" spans="1:7" x14ac:dyDescent="0.15">
      <c r="A84" s="48"/>
      <c r="B84" s="48"/>
      <c r="C84" s="48"/>
      <c r="D84" s="48"/>
      <c r="E84" s="48"/>
      <c r="F84" s="48"/>
      <c r="G84" s="48"/>
    </row>
    <row r="85" spans="1:7" x14ac:dyDescent="0.15">
      <c r="A85" s="48"/>
      <c r="B85" s="48"/>
      <c r="C85" s="48"/>
      <c r="D85" s="48"/>
      <c r="E85" s="48"/>
      <c r="F85" s="48"/>
      <c r="G85" s="48"/>
    </row>
    <row r="86" spans="1:7" x14ac:dyDescent="0.15">
      <c r="A86" s="48"/>
      <c r="B86" s="48"/>
      <c r="C86" s="48"/>
      <c r="D86" s="48"/>
      <c r="E86" s="48"/>
      <c r="F86" s="48"/>
      <c r="G86" s="48"/>
    </row>
    <row r="87" spans="1:7" x14ac:dyDescent="0.15">
      <c r="A87" s="48"/>
      <c r="B87" s="48"/>
      <c r="C87" s="48"/>
      <c r="D87" s="48"/>
      <c r="E87" s="48"/>
      <c r="F87" s="48"/>
      <c r="G87" s="48"/>
    </row>
    <row r="88" spans="1:7" x14ac:dyDescent="0.15">
      <c r="A88" s="48"/>
      <c r="B88" s="48"/>
      <c r="C88" s="48"/>
      <c r="D88" s="48"/>
      <c r="E88" s="48"/>
      <c r="F88" s="48"/>
      <c r="G88" s="48"/>
    </row>
    <row r="89" spans="1:7" x14ac:dyDescent="0.15">
      <c r="A89" s="48"/>
      <c r="B89" s="48"/>
      <c r="C89" s="48"/>
      <c r="D89" s="48"/>
      <c r="E89" s="48"/>
      <c r="F89" s="48"/>
      <c r="G89" s="48"/>
    </row>
  </sheetData>
  <pageMargins left="0.75" right="0.75" top="1" bottom="1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G95"/>
  <sheetViews>
    <sheetView topLeftCell="A55" zoomScale="125" zoomScaleNormal="125" workbookViewId="0">
      <selection activeCell="D48" sqref="D48"/>
    </sheetView>
  </sheetViews>
  <sheetFormatPr baseColWidth="10" defaultRowHeight="13" x14ac:dyDescent="0.15"/>
  <cols>
    <col min="1" max="2" width="14.5" customWidth="1"/>
    <col min="3" max="3" width="18.33203125" customWidth="1"/>
    <col min="4" max="4" width="14.5" customWidth="1"/>
    <col min="5" max="5" width="27.6640625" customWidth="1"/>
    <col min="6" max="6" width="22.1640625" customWidth="1"/>
    <col min="7" max="7" width="36" customWidth="1"/>
  </cols>
  <sheetData>
    <row r="1" spans="1:7" ht="14" x14ac:dyDescent="0.15">
      <c r="A1" s="77" t="s">
        <v>680</v>
      </c>
      <c r="B1" s="78" t="s">
        <v>681</v>
      </c>
      <c r="C1" s="79" t="s">
        <v>229</v>
      </c>
      <c r="D1" s="80" t="s">
        <v>230</v>
      </c>
      <c r="E1" s="82" t="s">
        <v>152</v>
      </c>
      <c r="F1" s="79" t="s">
        <v>86</v>
      </c>
      <c r="G1" s="81" t="s">
        <v>802</v>
      </c>
    </row>
    <row r="2" spans="1:7" ht="16" customHeight="1" x14ac:dyDescent="0.15">
      <c r="A2" s="94">
        <v>41885</v>
      </c>
      <c r="B2" s="74">
        <v>0.45833333333333331</v>
      </c>
      <c r="C2" s="70" t="s">
        <v>679</v>
      </c>
      <c r="D2" s="72">
        <v>767</v>
      </c>
      <c r="E2" s="83"/>
      <c r="F2" s="70" t="s">
        <v>87</v>
      </c>
      <c r="G2" s="68"/>
    </row>
    <row r="3" spans="1:7" ht="16" customHeight="1" x14ac:dyDescent="0.15">
      <c r="A3" s="95">
        <v>42261</v>
      </c>
      <c r="B3" s="61" t="s">
        <v>574</v>
      </c>
      <c r="C3" s="61" t="s">
        <v>250</v>
      </c>
      <c r="D3" s="73">
        <v>215</v>
      </c>
      <c r="E3" s="61"/>
      <c r="F3" s="61" t="s">
        <v>87</v>
      </c>
      <c r="G3" s="48"/>
    </row>
    <row r="4" spans="1:7" ht="16" customHeight="1" x14ac:dyDescent="0.15">
      <c r="A4" s="96">
        <v>42275</v>
      </c>
      <c r="B4" s="87" t="s">
        <v>574</v>
      </c>
      <c r="C4" s="87" t="s">
        <v>1159</v>
      </c>
      <c r="D4" s="88">
        <v>181</v>
      </c>
      <c r="E4" s="87"/>
      <c r="F4" s="61" t="s">
        <v>87</v>
      </c>
      <c r="G4" s="48"/>
    </row>
    <row r="5" spans="1:7" ht="16" customHeight="1" x14ac:dyDescent="0.15">
      <c r="A5" s="97">
        <v>42278</v>
      </c>
      <c r="B5" s="62" t="s">
        <v>920</v>
      </c>
      <c r="C5" s="48" t="s">
        <v>1160</v>
      </c>
      <c r="D5" s="62">
        <v>132</v>
      </c>
      <c r="E5" s="62"/>
      <c r="F5" s="62" t="s">
        <v>88</v>
      </c>
      <c r="G5" s="48"/>
    </row>
    <row r="6" spans="1:7" ht="16" customHeight="1" x14ac:dyDescent="0.15">
      <c r="A6" s="97">
        <v>42279</v>
      </c>
      <c r="B6" s="62" t="s">
        <v>920</v>
      </c>
      <c r="C6" s="62" t="s">
        <v>1161</v>
      </c>
      <c r="D6" s="62">
        <v>65</v>
      </c>
      <c r="E6" s="62"/>
      <c r="F6" s="62" t="s">
        <v>88</v>
      </c>
      <c r="G6" s="48"/>
    </row>
    <row r="7" spans="1:7" ht="16" customHeight="1" x14ac:dyDescent="0.15">
      <c r="A7" s="97">
        <v>42281</v>
      </c>
      <c r="B7" s="62" t="s">
        <v>576</v>
      </c>
      <c r="C7" s="62" t="s">
        <v>310</v>
      </c>
      <c r="D7" s="62" t="s">
        <v>307</v>
      </c>
      <c r="E7" s="62"/>
      <c r="F7" s="62" t="s">
        <v>87</v>
      </c>
      <c r="G7" s="48"/>
    </row>
    <row r="8" spans="1:7" ht="16" customHeight="1" x14ac:dyDescent="0.15">
      <c r="A8" s="97">
        <v>42287</v>
      </c>
      <c r="B8" s="62" t="s">
        <v>576</v>
      </c>
      <c r="C8" s="62" t="s">
        <v>520</v>
      </c>
      <c r="D8" s="62">
        <v>293</v>
      </c>
      <c r="E8" s="62"/>
      <c r="F8" s="62" t="s">
        <v>87</v>
      </c>
      <c r="G8" s="48"/>
    </row>
    <row r="9" spans="1:7" ht="16" customHeight="1" x14ac:dyDescent="0.15">
      <c r="A9" s="97">
        <v>42289</v>
      </c>
      <c r="B9" s="62" t="s">
        <v>916</v>
      </c>
      <c r="C9" s="62" t="s">
        <v>520</v>
      </c>
      <c r="D9" s="62">
        <v>349</v>
      </c>
      <c r="E9" s="62"/>
      <c r="F9" s="62" t="s">
        <v>87</v>
      </c>
      <c r="G9" s="48"/>
    </row>
    <row r="10" spans="1:7" ht="16" customHeight="1" x14ac:dyDescent="0.15">
      <c r="A10" s="97">
        <v>42292</v>
      </c>
      <c r="B10" s="62" t="s">
        <v>594</v>
      </c>
      <c r="C10" s="62" t="s">
        <v>56</v>
      </c>
      <c r="D10" s="76">
        <v>27</v>
      </c>
      <c r="E10" s="62"/>
      <c r="F10" s="62" t="s">
        <v>88</v>
      </c>
      <c r="G10" s="48"/>
    </row>
    <row r="11" spans="1:7" ht="16" customHeight="1" x14ac:dyDescent="0.15">
      <c r="A11" s="97">
        <v>42301</v>
      </c>
      <c r="B11" s="62" t="s">
        <v>576</v>
      </c>
      <c r="C11" s="62" t="s">
        <v>1162</v>
      </c>
      <c r="D11" s="62">
        <v>63</v>
      </c>
      <c r="E11" s="62"/>
      <c r="F11" s="62" t="s">
        <v>88</v>
      </c>
      <c r="G11" s="48"/>
    </row>
    <row r="12" spans="1:7" ht="16" customHeight="1" x14ac:dyDescent="0.15">
      <c r="A12" s="97">
        <v>42302</v>
      </c>
      <c r="B12" s="62" t="s">
        <v>576</v>
      </c>
      <c r="C12" s="62" t="s">
        <v>1163</v>
      </c>
      <c r="D12" s="62">
        <v>326</v>
      </c>
      <c r="E12" s="62"/>
      <c r="F12" s="62" t="s">
        <v>87</v>
      </c>
      <c r="G12" s="48"/>
    </row>
    <row r="13" spans="1:7" ht="16" customHeight="1" x14ac:dyDescent="0.15">
      <c r="A13" s="97">
        <v>42306</v>
      </c>
      <c r="B13" s="62" t="s">
        <v>594</v>
      </c>
      <c r="C13" s="62" t="s">
        <v>56</v>
      </c>
      <c r="D13" s="62">
        <v>51</v>
      </c>
      <c r="E13" s="62"/>
      <c r="F13" s="62" t="s">
        <v>88</v>
      </c>
      <c r="G13" s="48"/>
    </row>
    <row r="14" spans="1:7" ht="16" customHeight="1" x14ac:dyDescent="0.15">
      <c r="A14" s="97">
        <v>42308</v>
      </c>
      <c r="B14" s="62" t="s">
        <v>576</v>
      </c>
      <c r="C14" s="62" t="s">
        <v>1168</v>
      </c>
      <c r="D14" s="62">
        <v>117</v>
      </c>
      <c r="E14" s="62"/>
      <c r="F14" s="62" t="s">
        <v>87</v>
      </c>
      <c r="G14" s="48"/>
    </row>
    <row r="15" spans="1:7" ht="16" customHeight="1" x14ac:dyDescent="0.15">
      <c r="A15" s="97">
        <v>42310</v>
      </c>
      <c r="B15" s="62" t="s">
        <v>574</v>
      </c>
      <c r="C15" s="62" t="s">
        <v>1164</v>
      </c>
      <c r="D15" s="62">
        <v>125</v>
      </c>
      <c r="E15" s="62"/>
      <c r="F15" s="62" t="s">
        <v>87</v>
      </c>
      <c r="G15" s="48"/>
    </row>
    <row r="16" spans="1:7" ht="16" customHeight="1" x14ac:dyDescent="0.15">
      <c r="A16" s="97">
        <v>42315</v>
      </c>
      <c r="B16" s="65" t="s">
        <v>619</v>
      </c>
      <c r="C16" s="62" t="s">
        <v>56</v>
      </c>
      <c r="D16" s="62">
        <v>50</v>
      </c>
      <c r="E16" s="62"/>
      <c r="F16" s="62" t="s">
        <v>88</v>
      </c>
      <c r="G16" s="48"/>
    </row>
    <row r="17" spans="1:7" ht="16" customHeight="1" x14ac:dyDescent="0.15">
      <c r="A17" s="97">
        <v>42316</v>
      </c>
      <c r="B17" s="65" t="s">
        <v>576</v>
      </c>
      <c r="C17" s="62" t="s">
        <v>1165</v>
      </c>
      <c r="D17" s="62">
        <v>85</v>
      </c>
      <c r="E17" s="62"/>
      <c r="F17" s="62" t="s">
        <v>87</v>
      </c>
      <c r="G17" s="48"/>
    </row>
    <row r="18" spans="1:7" ht="16" customHeight="1" x14ac:dyDescent="0.15">
      <c r="A18" s="97">
        <v>42317</v>
      </c>
      <c r="B18" s="65" t="s">
        <v>574</v>
      </c>
      <c r="C18" s="62" t="s">
        <v>1166</v>
      </c>
      <c r="D18" s="62">
        <v>125</v>
      </c>
      <c r="E18" s="62"/>
      <c r="F18" s="62" t="s">
        <v>87</v>
      </c>
      <c r="G18" s="48"/>
    </row>
    <row r="19" spans="1:7" ht="16" customHeight="1" x14ac:dyDescent="0.15">
      <c r="A19" s="97">
        <v>42322</v>
      </c>
      <c r="B19" s="62" t="s">
        <v>576</v>
      </c>
      <c r="C19" s="62" t="s">
        <v>382</v>
      </c>
      <c r="D19" s="62">
        <v>163</v>
      </c>
      <c r="E19" s="62"/>
      <c r="F19" s="62" t="s">
        <v>87</v>
      </c>
      <c r="G19" s="48"/>
    </row>
    <row r="20" spans="1:7" ht="16" customHeight="1" x14ac:dyDescent="0.15">
      <c r="A20" s="97">
        <v>42323</v>
      </c>
      <c r="B20" s="62" t="s">
        <v>576</v>
      </c>
      <c r="C20" s="62" t="s">
        <v>1167</v>
      </c>
      <c r="D20" s="62">
        <v>100</v>
      </c>
      <c r="E20" s="62"/>
      <c r="F20" s="62" t="s">
        <v>88</v>
      </c>
      <c r="G20" s="48"/>
    </row>
    <row r="21" spans="1:7" ht="16" customHeight="1" x14ac:dyDescent="0.15">
      <c r="A21" s="97">
        <v>42324</v>
      </c>
      <c r="B21" s="62" t="s">
        <v>574</v>
      </c>
      <c r="C21" s="62" t="s">
        <v>382</v>
      </c>
      <c r="D21" s="62">
        <v>172</v>
      </c>
      <c r="E21" s="62"/>
      <c r="F21" s="62" t="s">
        <v>87</v>
      </c>
      <c r="G21" s="48"/>
    </row>
    <row r="22" spans="1:7" ht="15" customHeight="1" x14ac:dyDescent="0.15">
      <c r="A22" s="97">
        <v>42326</v>
      </c>
      <c r="B22" s="62" t="s">
        <v>638</v>
      </c>
      <c r="C22" s="62" t="s">
        <v>413</v>
      </c>
      <c r="D22" s="62">
        <v>194</v>
      </c>
      <c r="E22" s="100"/>
      <c r="F22" s="62" t="s">
        <v>88</v>
      </c>
      <c r="G22" s="48"/>
    </row>
    <row r="23" spans="1:7" ht="16" customHeight="1" x14ac:dyDescent="0.15">
      <c r="A23" s="97">
        <v>42331</v>
      </c>
      <c r="B23" s="62" t="s">
        <v>576</v>
      </c>
      <c r="C23" s="62" t="s">
        <v>520</v>
      </c>
      <c r="D23" s="62">
        <v>199</v>
      </c>
      <c r="E23" s="62"/>
      <c r="F23" s="62" t="s">
        <v>87</v>
      </c>
      <c r="G23" s="48"/>
    </row>
    <row r="24" spans="1:7" ht="16" customHeight="1" x14ac:dyDescent="0.15">
      <c r="A24" s="97">
        <v>42333</v>
      </c>
      <c r="B24" s="62" t="s">
        <v>574</v>
      </c>
      <c r="C24" s="62" t="s">
        <v>520</v>
      </c>
      <c r="D24" s="62">
        <v>345</v>
      </c>
      <c r="E24" s="98"/>
      <c r="F24" s="62" t="s">
        <v>87</v>
      </c>
      <c r="G24" s="48"/>
    </row>
    <row r="25" spans="1:7" ht="16" customHeight="1" x14ac:dyDescent="0.15">
      <c r="A25" s="97">
        <v>42339</v>
      </c>
      <c r="B25" s="62" t="s">
        <v>576</v>
      </c>
      <c r="C25" s="62" t="s">
        <v>935</v>
      </c>
      <c r="D25" s="76">
        <v>211</v>
      </c>
      <c r="E25" s="62"/>
      <c r="F25" s="62" t="s">
        <v>88</v>
      </c>
      <c r="G25" s="48"/>
    </row>
    <row r="26" spans="1:7" ht="16" customHeight="1" x14ac:dyDescent="0.15">
      <c r="A26" s="97">
        <v>42341</v>
      </c>
      <c r="B26" s="62" t="s">
        <v>608</v>
      </c>
      <c r="C26" s="62" t="s">
        <v>56</v>
      </c>
      <c r="D26" s="76">
        <v>61</v>
      </c>
      <c r="E26" s="62"/>
      <c r="F26" s="62" t="s">
        <v>88</v>
      </c>
      <c r="G26" s="48"/>
    </row>
    <row r="27" spans="1:7" ht="16" customHeight="1" x14ac:dyDescent="0.15">
      <c r="A27" s="97">
        <v>42343</v>
      </c>
      <c r="B27" s="62" t="s">
        <v>576</v>
      </c>
      <c r="C27" s="62" t="s">
        <v>392</v>
      </c>
      <c r="D27" s="76">
        <v>168</v>
      </c>
      <c r="E27" s="62"/>
      <c r="F27" s="62" t="s">
        <v>87</v>
      </c>
      <c r="G27" s="48"/>
    </row>
    <row r="28" spans="1:7" ht="16" customHeight="1" x14ac:dyDescent="0.15">
      <c r="A28" s="97">
        <v>42345</v>
      </c>
      <c r="B28" s="62" t="s">
        <v>574</v>
      </c>
      <c r="C28" s="62" t="s">
        <v>392</v>
      </c>
      <c r="D28" s="62">
        <v>244</v>
      </c>
      <c r="E28" s="62"/>
      <c r="F28" s="62" t="s">
        <v>87</v>
      </c>
      <c r="G28" s="48"/>
    </row>
    <row r="29" spans="1:7" ht="16" customHeight="1" x14ac:dyDescent="0.15">
      <c r="A29" s="97">
        <v>42346</v>
      </c>
      <c r="B29" s="62" t="s">
        <v>576</v>
      </c>
      <c r="C29" s="62" t="s">
        <v>484</v>
      </c>
      <c r="D29" s="62">
        <v>160</v>
      </c>
      <c r="E29" s="62"/>
      <c r="F29" s="62" t="s">
        <v>87</v>
      </c>
      <c r="G29" s="48"/>
    </row>
    <row r="30" spans="1:7" ht="16" customHeight="1" x14ac:dyDescent="0.15">
      <c r="A30" s="97">
        <v>42347</v>
      </c>
      <c r="B30" s="62" t="s">
        <v>608</v>
      </c>
      <c r="C30" s="62" t="s">
        <v>56</v>
      </c>
      <c r="D30" s="62">
        <v>36</v>
      </c>
      <c r="E30" s="62"/>
      <c r="F30" s="62" t="s">
        <v>88</v>
      </c>
      <c r="G30" s="48"/>
    </row>
    <row r="31" spans="1:7" ht="16" customHeight="1" x14ac:dyDescent="0.15">
      <c r="A31" s="97">
        <v>42348</v>
      </c>
      <c r="B31" s="62" t="s">
        <v>608</v>
      </c>
      <c r="C31" s="75" t="s">
        <v>56</v>
      </c>
      <c r="D31" s="62">
        <v>32</v>
      </c>
      <c r="E31" s="62"/>
      <c r="F31" s="62" t="s">
        <v>88</v>
      </c>
      <c r="G31" s="48"/>
    </row>
    <row r="32" spans="1:7" x14ac:dyDescent="0.15">
      <c r="A32" s="63"/>
      <c r="B32" s="63"/>
      <c r="C32" s="63"/>
      <c r="D32" s="63"/>
      <c r="E32" s="63"/>
      <c r="F32" s="63"/>
      <c r="G32" s="48"/>
    </row>
    <row r="33" spans="1:7" x14ac:dyDescent="0.15">
      <c r="A33" s="48"/>
      <c r="B33" s="48"/>
      <c r="C33" s="48"/>
      <c r="D33" s="48"/>
      <c r="E33" s="48"/>
      <c r="F33" s="48"/>
      <c r="G33" s="48"/>
    </row>
    <row r="34" spans="1:7" ht="16" customHeight="1" x14ac:dyDescent="0.15">
      <c r="A34" s="101">
        <v>42399</v>
      </c>
      <c r="B34" s="62" t="s">
        <v>576</v>
      </c>
      <c r="C34" s="62" t="s">
        <v>937</v>
      </c>
      <c r="D34" s="62">
        <v>72</v>
      </c>
      <c r="E34" s="62"/>
      <c r="F34" s="62" t="s">
        <v>88</v>
      </c>
      <c r="G34" s="48"/>
    </row>
    <row r="35" spans="1:7" ht="16" customHeight="1" x14ac:dyDescent="0.15">
      <c r="A35" s="101">
        <v>42400</v>
      </c>
      <c r="B35" s="62" t="s">
        <v>574</v>
      </c>
      <c r="C35" s="62" t="s">
        <v>938</v>
      </c>
      <c r="D35" s="62">
        <v>23</v>
      </c>
      <c r="E35" s="62"/>
      <c r="F35" s="62" t="s">
        <v>88</v>
      </c>
      <c r="G35" s="48"/>
    </row>
    <row r="36" spans="1:7" ht="16" customHeight="1" x14ac:dyDescent="0.15">
      <c r="A36" s="101">
        <v>42400</v>
      </c>
      <c r="B36" s="62" t="s">
        <v>576</v>
      </c>
      <c r="C36" s="62" t="s">
        <v>939</v>
      </c>
      <c r="D36" s="62">
        <v>73</v>
      </c>
      <c r="E36" s="62"/>
      <c r="F36" s="62" t="s">
        <v>88</v>
      </c>
      <c r="G36" s="48"/>
    </row>
    <row r="37" spans="1:7" ht="16" customHeight="1" x14ac:dyDescent="0.15">
      <c r="A37" s="101">
        <v>42401</v>
      </c>
      <c r="B37" s="62" t="s">
        <v>574</v>
      </c>
      <c r="C37" s="62" t="s">
        <v>941</v>
      </c>
      <c r="D37" s="62">
        <v>105</v>
      </c>
      <c r="E37" s="62"/>
      <c r="F37" s="62" t="s">
        <v>942</v>
      </c>
      <c r="G37" s="48"/>
    </row>
    <row r="38" spans="1:7" ht="16" customHeight="1" x14ac:dyDescent="0.15">
      <c r="A38" s="101">
        <v>42407</v>
      </c>
      <c r="B38" s="62" t="s">
        <v>576</v>
      </c>
      <c r="C38" s="62" t="s">
        <v>1169</v>
      </c>
      <c r="D38" s="62">
        <v>195</v>
      </c>
      <c r="E38" s="62"/>
      <c r="F38" s="62" t="s">
        <v>942</v>
      </c>
      <c r="G38" s="48"/>
    </row>
    <row r="39" spans="1:7" ht="16" customHeight="1" x14ac:dyDescent="0.15">
      <c r="A39" s="101">
        <v>42413</v>
      </c>
      <c r="B39" s="102" t="s">
        <v>1110</v>
      </c>
      <c r="C39" s="62" t="s">
        <v>1171</v>
      </c>
      <c r="D39" s="62">
        <v>143</v>
      </c>
      <c r="E39" s="62"/>
      <c r="F39" s="62" t="s">
        <v>88</v>
      </c>
      <c r="G39" s="48"/>
    </row>
    <row r="40" spans="1:7" ht="16" customHeight="1" x14ac:dyDescent="0.15">
      <c r="A40" s="101">
        <v>42413</v>
      </c>
      <c r="B40" s="62" t="s">
        <v>576</v>
      </c>
      <c r="C40" s="62" t="s">
        <v>1170</v>
      </c>
      <c r="D40" s="62">
        <v>297</v>
      </c>
      <c r="E40" s="62"/>
      <c r="F40" s="92" t="s">
        <v>942</v>
      </c>
      <c r="G40" s="48"/>
    </row>
    <row r="41" spans="1:7" ht="16" customHeight="1" x14ac:dyDescent="0.15">
      <c r="A41" s="101">
        <v>42418</v>
      </c>
      <c r="B41" s="62" t="s">
        <v>594</v>
      </c>
      <c r="C41" s="62" t="s">
        <v>56</v>
      </c>
      <c r="D41" s="62">
        <v>31</v>
      </c>
      <c r="E41" s="62"/>
      <c r="F41" s="62" t="s">
        <v>88</v>
      </c>
      <c r="G41" s="48"/>
    </row>
    <row r="42" spans="1:7" ht="16" customHeight="1" x14ac:dyDescent="0.15">
      <c r="A42" s="101">
        <v>42422</v>
      </c>
      <c r="B42" s="62" t="s">
        <v>574</v>
      </c>
      <c r="C42" s="62" t="s">
        <v>21</v>
      </c>
      <c r="D42" s="62">
        <v>143</v>
      </c>
      <c r="E42" s="62"/>
      <c r="F42" s="87" t="s">
        <v>942</v>
      </c>
      <c r="G42" s="48"/>
    </row>
    <row r="43" spans="1:7" ht="16" customHeight="1" x14ac:dyDescent="0.15">
      <c r="A43" s="101">
        <v>42425</v>
      </c>
      <c r="B43" s="62" t="s">
        <v>920</v>
      </c>
      <c r="C43" s="62" t="s">
        <v>1172</v>
      </c>
      <c r="D43" s="62">
        <v>120</v>
      </c>
      <c r="E43" s="62"/>
      <c r="F43" s="87" t="s">
        <v>88</v>
      </c>
      <c r="G43" s="48"/>
    </row>
    <row r="44" spans="1:7" ht="16" customHeight="1" x14ac:dyDescent="0.15">
      <c r="A44" s="101">
        <v>42434</v>
      </c>
      <c r="B44" s="62" t="s">
        <v>576</v>
      </c>
      <c r="C44" s="62" t="s">
        <v>520</v>
      </c>
      <c r="D44" s="62">
        <v>228</v>
      </c>
      <c r="E44" s="62"/>
      <c r="F44" s="62" t="s">
        <v>942</v>
      </c>
      <c r="G44" s="48"/>
    </row>
    <row r="45" spans="1:7" ht="16" customHeight="1" x14ac:dyDescent="0.15">
      <c r="A45" s="101">
        <v>42436</v>
      </c>
      <c r="B45" s="62" t="s">
        <v>574</v>
      </c>
      <c r="C45" s="62" t="s">
        <v>520</v>
      </c>
      <c r="D45" s="62">
        <v>247</v>
      </c>
      <c r="E45" s="62"/>
      <c r="F45" s="62" t="s">
        <v>942</v>
      </c>
      <c r="G45" s="48"/>
    </row>
    <row r="46" spans="1:7" ht="16" customHeight="1" x14ac:dyDescent="0.15">
      <c r="A46" s="101">
        <v>42068</v>
      </c>
      <c r="B46" s="62" t="s">
        <v>594</v>
      </c>
      <c r="C46" s="62" t="s">
        <v>56</v>
      </c>
      <c r="D46" s="93">
        <v>49</v>
      </c>
      <c r="E46" s="62"/>
      <c r="F46" s="62" t="s">
        <v>88</v>
      </c>
      <c r="G46" s="48"/>
    </row>
    <row r="47" spans="1:7" ht="16" customHeight="1" x14ac:dyDescent="0.15">
      <c r="A47" s="101">
        <v>42069</v>
      </c>
      <c r="B47" s="62"/>
      <c r="C47" s="62" t="s">
        <v>1176</v>
      </c>
      <c r="D47" s="62">
        <v>68</v>
      </c>
      <c r="E47" s="62"/>
      <c r="F47" s="62" t="s">
        <v>88</v>
      </c>
      <c r="G47" s="48"/>
    </row>
    <row r="48" spans="1:7" ht="16" customHeight="1" x14ac:dyDescent="0.15">
      <c r="A48" s="101">
        <v>42074</v>
      </c>
      <c r="B48" s="62" t="s">
        <v>638</v>
      </c>
      <c r="C48" s="62" t="s">
        <v>956</v>
      </c>
      <c r="D48" s="62">
        <v>80</v>
      </c>
      <c r="E48" s="62" t="s">
        <v>1175</v>
      </c>
      <c r="F48" s="62" t="s">
        <v>88</v>
      </c>
      <c r="G48" s="48"/>
    </row>
    <row r="49" spans="1:7" ht="16" customHeight="1" x14ac:dyDescent="0.15">
      <c r="A49" s="101">
        <v>42075</v>
      </c>
      <c r="B49" s="62" t="s">
        <v>576</v>
      </c>
      <c r="C49" s="62" t="s">
        <v>1125</v>
      </c>
      <c r="D49" s="62" t="s">
        <v>1173</v>
      </c>
      <c r="E49" s="62"/>
      <c r="F49" s="62" t="s">
        <v>942</v>
      </c>
      <c r="G49" s="48"/>
    </row>
    <row r="50" spans="1:7" ht="16" customHeight="1" x14ac:dyDescent="0.15">
      <c r="A50" s="101">
        <v>42092</v>
      </c>
      <c r="B50" s="62" t="s">
        <v>576</v>
      </c>
      <c r="C50" s="62" t="s">
        <v>1129</v>
      </c>
      <c r="D50" s="62" t="s">
        <v>1173</v>
      </c>
      <c r="E50" s="62" t="s">
        <v>1174</v>
      </c>
      <c r="F50" s="62" t="s">
        <v>88</v>
      </c>
      <c r="G50" s="48"/>
    </row>
    <row r="51" spans="1:7" ht="16" customHeight="1" x14ac:dyDescent="0.15">
      <c r="A51" s="101">
        <v>42093</v>
      </c>
      <c r="B51" s="62" t="s">
        <v>576</v>
      </c>
      <c r="C51" s="62" t="s">
        <v>1130</v>
      </c>
      <c r="D51" s="62" t="s">
        <v>1173</v>
      </c>
      <c r="E51" s="62"/>
      <c r="F51" s="62" t="s">
        <v>942</v>
      </c>
      <c r="G51" s="48"/>
    </row>
    <row r="52" spans="1:7" ht="16" customHeight="1" x14ac:dyDescent="0.15">
      <c r="A52" s="101">
        <v>42098</v>
      </c>
      <c r="B52" s="62" t="s">
        <v>576</v>
      </c>
      <c r="C52" s="62" t="s">
        <v>1131</v>
      </c>
      <c r="D52" s="62" t="s">
        <v>1173</v>
      </c>
      <c r="E52" s="62" t="s">
        <v>1174</v>
      </c>
      <c r="F52" s="62" t="s">
        <v>88</v>
      </c>
      <c r="G52" s="48"/>
    </row>
    <row r="53" spans="1:7" ht="16" customHeight="1" x14ac:dyDescent="0.15">
      <c r="A53" s="101">
        <v>42100</v>
      </c>
      <c r="B53" s="62" t="s">
        <v>576</v>
      </c>
      <c r="C53" s="62" t="s">
        <v>1133</v>
      </c>
      <c r="D53" s="62" t="s">
        <v>1173</v>
      </c>
      <c r="E53" s="62"/>
      <c r="F53" s="62" t="s">
        <v>942</v>
      </c>
      <c r="G53" s="48"/>
    </row>
    <row r="54" spans="1:7" ht="16" customHeight="1" x14ac:dyDescent="0.15">
      <c r="A54" s="101">
        <v>42103</v>
      </c>
      <c r="B54" s="62" t="s">
        <v>594</v>
      </c>
      <c r="C54" s="62" t="s">
        <v>56</v>
      </c>
      <c r="D54" s="62" t="s">
        <v>1173</v>
      </c>
      <c r="E54" s="62"/>
      <c r="F54" s="62" t="s">
        <v>88</v>
      </c>
      <c r="G54" s="48"/>
    </row>
    <row r="55" spans="1:7" ht="16" customHeight="1" x14ac:dyDescent="0.15">
      <c r="A55" s="101">
        <v>42106</v>
      </c>
      <c r="B55" s="62" t="s">
        <v>576</v>
      </c>
      <c r="C55" s="62" t="s">
        <v>1132</v>
      </c>
      <c r="D55" s="62" t="s">
        <v>1173</v>
      </c>
      <c r="E55" s="62"/>
      <c r="F55" s="62" t="s">
        <v>88</v>
      </c>
      <c r="G55" s="48"/>
    </row>
    <row r="56" spans="1:7" ht="16" customHeight="1" x14ac:dyDescent="0.15">
      <c r="A56" s="101">
        <v>42112</v>
      </c>
      <c r="B56" s="62" t="s">
        <v>576</v>
      </c>
      <c r="C56" s="62" t="s">
        <v>963</v>
      </c>
      <c r="D56" s="62" t="s">
        <v>1173</v>
      </c>
      <c r="E56" s="62"/>
      <c r="F56" s="62" t="s">
        <v>942</v>
      </c>
      <c r="G56" s="48"/>
    </row>
    <row r="57" spans="1:7" ht="16" customHeight="1" x14ac:dyDescent="0.15">
      <c r="A57" s="101">
        <v>42114</v>
      </c>
      <c r="B57" s="62" t="s">
        <v>574</v>
      </c>
      <c r="C57" s="62" t="s">
        <v>963</v>
      </c>
      <c r="D57" s="62" t="s">
        <v>1173</v>
      </c>
      <c r="E57" s="62"/>
      <c r="F57" s="62" t="s">
        <v>942</v>
      </c>
      <c r="G57" s="48"/>
    </row>
    <row r="58" spans="1:7" ht="16" customHeight="1" x14ac:dyDescent="0.15">
      <c r="A58" s="101">
        <v>42119</v>
      </c>
      <c r="B58" s="102" t="s">
        <v>619</v>
      </c>
      <c r="C58" s="62" t="s">
        <v>56</v>
      </c>
      <c r="D58" s="62" t="s">
        <v>1173</v>
      </c>
      <c r="E58" s="62"/>
      <c r="F58" s="62" t="s">
        <v>88</v>
      </c>
      <c r="G58" s="48"/>
    </row>
    <row r="59" spans="1:7" ht="16" customHeight="1" x14ac:dyDescent="0.15">
      <c r="A59" s="101">
        <v>42121</v>
      </c>
      <c r="B59" s="62" t="s">
        <v>574</v>
      </c>
      <c r="C59" s="62" t="s">
        <v>1134</v>
      </c>
      <c r="D59" s="62" t="s">
        <v>1173</v>
      </c>
      <c r="E59" s="62"/>
      <c r="F59" s="62" t="s">
        <v>942</v>
      </c>
      <c r="G59" s="48"/>
    </row>
    <row r="60" spans="1:7" ht="16" customHeight="1" x14ac:dyDescent="0.15">
      <c r="A60" s="101">
        <v>42122</v>
      </c>
      <c r="B60" s="62" t="s">
        <v>594</v>
      </c>
      <c r="C60" s="62" t="s">
        <v>532</v>
      </c>
      <c r="D60" s="62" t="s">
        <v>1173</v>
      </c>
      <c r="E60" s="62"/>
      <c r="F60" s="62" t="s">
        <v>88</v>
      </c>
      <c r="G60" s="48"/>
    </row>
    <row r="61" spans="1:7" ht="16" customHeight="1" x14ac:dyDescent="0.15">
      <c r="A61" s="101">
        <v>42124</v>
      </c>
      <c r="B61" s="62" t="s">
        <v>576</v>
      </c>
      <c r="C61" s="62" t="s">
        <v>1135</v>
      </c>
      <c r="D61" s="62" t="s">
        <v>1173</v>
      </c>
      <c r="E61" s="62"/>
      <c r="F61" s="62" t="s">
        <v>88</v>
      </c>
      <c r="G61" s="48"/>
    </row>
    <row r="62" spans="1:7" ht="16" customHeight="1" x14ac:dyDescent="0.15">
      <c r="A62" s="101">
        <v>42125</v>
      </c>
      <c r="B62" s="62" t="s">
        <v>576</v>
      </c>
      <c r="C62" s="62" t="s">
        <v>967</v>
      </c>
      <c r="D62" s="62" t="s">
        <v>1173</v>
      </c>
      <c r="E62" s="62"/>
      <c r="F62" s="62" t="s">
        <v>942</v>
      </c>
      <c r="G62" s="48"/>
    </row>
    <row r="63" spans="1:7" ht="16" customHeight="1" x14ac:dyDescent="0.15">
      <c r="A63" s="101">
        <v>42126</v>
      </c>
      <c r="B63" s="62" t="s">
        <v>576</v>
      </c>
      <c r="C63" s="62" t="s">
        <v>968</v>
      </c>
      <c r="D63" s="62" t="s">
        <v>1173</v>
      </c>
      <c r="E63" s="62"/>
      <c r="F63" s="62" t="s">
        <v>942</v>
      </c>
      <c r="G63" s="48"/>
    </row>
    <row r="64" spans="1:7" ht="16" customHeight="1" x14ac:dyDescent="0.15">
      <c r="A64" s="101">
        <v>42127</v>
      </c>
      <c r="B64" s="62" t="s">
        <v>778</v>
      </c>
      <c r="C64" s="62" t="s">
        <v>382</v>
      </c>
      <c r="D64" s="62" t="s">
        <v>1173</v>
      </c>
      <c r="E64" s="62"/>
      <c r="F64" s="62" t="s">
        <v>942</v>
      </c>
      <c r="G64" s="48"/>
    </row>
    <row r="65" spans="1:7" ht="16" customHeight="1" x14ac:dyDescent="0.15">
      <c r="A65" s="101">
        <v>42127</v>
      </c>
      <c r="B65" s="62" t="s">
        <v>671</v>
      </c>
      <c r="C65" s="62" t="s">
        <v>967</v>
      </c>
      <c r="D65" s="62" t="s">
        <v>1173</v>
      </c>
      <c r="E65" s="62"/>
      <c r="F65" s="62" t="s">
        <v>942</v>
      </c>
      <c r="G65" s="48"/>
    </row>
    <row r="66" spans="1:7" ht="16" customHeight="1" x14ac:dyDescent="0.15">
      <c r="A66" s="101">
        <v>42128</v>
      </c>
      <c r="B66" s="62" t="s">
        <v>574</v>
      </c>
      <c r="C66" s="62" t="s">
        <v>1136</v>
      </c>
      <c r="D66" s="62" t="s">
        <v>1173</v>
      </c>
      <c r="E66" s="62"/>
      <c r="F66" s="62" t="s">
        <v>88</v>
      </c>
      <c r="G66" s="48"/>
    </row>
    <row r="67" spans="1:7" ht="16" customHeight="1" x14ac:dyDescent="0.15">
      <c r="A67" s="101">
        <v>42128</v>
      </c>
      <c r="B67" s="62" t="s">
        <v>576</v>
      </c>
      <c r="C67" s="62" t="s">
        <v>382</v>
      </c>
      <c r="D67" s="62" t="s">
        <v>1173</v>
      </c>
      <c r="E67" s="62"/>
      <c r="F67" s="62" t="s">
        <v>942</v>
      </c>
      <c r="G67" s="48"/>
    </row>
    <row r="68" spans="1:7" ht="16" customHeight="1" x14ac:dyDescent="0.15">
      <c r="A68" s="101">
        <v>42129</v>
      </c>
      <c r="B68" s="62" t="s">
        <v>576</v>
      </c>
      <c r="C68" s="62" t="s">
        <v>484</v>
      </c>
      <c r="D68" s="62" t="s">
        <v>1173</v>
      </c>
      <c r="E68" s="62"/>
      <c r="F68" s="62" t="s">
        <v>942</v>
      </c>
      <c r="G68" s="48"/>
    </row>
    <row r="69" spans="1:7" ht="16" customHeight="1" x14ac:dyDescent="0.15">
      <c r="A69" s="101">
        <v>42130</v>
      </c>
      <c r="B69" s="62" t="s">
        <v>608</v>
      </c>
      <c r="C69" s="62" t="s">
        <v>56</v>
      </c>
      <c r="D69" s="62" t="s">
        <v>1173</v>
      </c>
      <c r="E69" s="62"/>
      <c r="F69" s="62" t="s">
        <v>88</v>
      </c>
      <c r="G69" s="48"/>
    </row>
    <row r="70" spans="1:7" ht="16" customHeight="1" x14ac:dyDescent="0.15">
      <c r="A70" s="101">
        <v>42131</v>
      </c>
      <c r="B70" s="62" t="s">
        <v>608</v>
      </c>
      <c r="C70" s="62" t="s">
        <v>56</v>
      </c>
      <c r="D70" s="62" t="s">
        <v>1173</v>
      </c>
      <c r="E70" s="62"/>
      <c r="F70" s="62" t="s">
        <v>88</v>
      </c>
      <c r="G70" s="48"/>
    </row>
    <row r="71" spans="1:7" ht="16" customHeight="1" x14ac:dyDescent="0.15">
      <c r="A71" s="101">
        <v>42141</v>
      </c>
      <c r="B71" s="62"/>
      <c r="C71" s="62" t="s">
        <v>1137</v>
      </c>
      <c r="D71" s="62" t="s">
        <v>1173</v>
      </c>
      <c r="E71" s="62"/>
      <c r="F71" s="62" t="s">
        <v>942</v>
      </c>
      <c r="G71" s="48"/>
    </row>
    <row r="72" spans="1:7" x14ac:dyDescent="0.15">
      <c r="A72" s="48"/>
      <c r="B72" s="48"/>
      <c r="C72" s="48"/>
      <c r="D72" s="48"/>
      <c r="E72" s="48"/>
      <c r="F72" s="48"/>
      <c r="G72" s="48"/>
    </row>
    <row r="73" spans="1:7" x14ac:dyDescent="0.15">
      <c r="A73" s="48"/>
      <c r="B73" s="48"/>
      <c r="C73" s="48"/>
      <c r="D73" s="48"/>
      <c r="E73" s="48"/>
      <c r="F73" s="48"/>
      <c r="G73" s="48"/>
    </row>
    <row r="74" spans="1:7" x14ac:dyDescent="0.15">
      <c r="A74" s="48"/>
      <c r="B74" s="48"/>
      <c r="C74" s="48"/>
      <c r="D74" s="48"/>
      <c r="E74" s="48"/>
      <c r="F74" s="48"/>
      <c r="G74" s="48"/>
    </row>
    <row r="75" spans="1:7" x14ac:dyDescent="0.15">
      <c r="A75" s="48"/>
      <c r="B75" s="48"/>
      <c r="C75" s="48"/>
      <c r="D75" s="48"/>
      <c r="E75" s="48"/>
      <c r="F75" s="48"/>
      <c r="G75" s="48"/>
    </row>
    <row r="76" spans="1:7" x14ac:dyDescent="0.15">
      <c r="A76" s="48"/>
      <c r="B76" s="48"/>
      <c r="C76" s="48"/>
      <c r="D76" s="48"/>
      <c r="E76" s="48"/>
      <c r="F76" s="48"/>
      <c r="G76" s="48"/>
    </row>
    <row r="77" spans="1:7" x14ac:dyDescent="0.15">
      <c r="A77" s="48"/>
      <c r="B77" s="48"/>
      <c r="C77" s="48"/>
      <c r="D77" s="48"/>
      <c r="E77" s="48"/>
      <c r="F77" s="48"/>
      <c r="G77" s="48"/>
    </row>
    <row r="78" spans="1:7" x14ac:dyDescent="0.15">
      <c r="A78" s="48"/>
      <c r="B78" s="48"/>
      <c r="C78" s="48"/>
      <c r="D78" s="48"/>
      <c r="E78" s="48"/>
      <c r="F78" s="48"/>
      <c r="G78" s="48"/>
    </row>
    <row r="79" spans="1:7" x14ac:dyDescent="0.15">
      <c r="A79" s="48"/>
      <c r="B79" s="48"/>
      <c r="C79" s="48"/>
      <c r="D79" s="48"/>
      <c r="E79" s="48"/>
      <c r="F79" s="48"/>
      <c r="G79" s="48"/>
    </row>
    <row r="80" spans="1:7" x14ac:dyDescent="0.15">
      <c r="A80" s="48"/>
      <c r="B80" s="48"/>
      <c r="C80" s="48"/>
      <c r="D80" s="48"/>
      <c r="E80" s="48"/>
      <c r="F80" s="48"/>
      <c r="G80" s="48"/>
    </row>
    <row r="81" spans="1:7" x14ac:dyDescent="0.15">
      <c r="A81" s="48"/>
      <c r="B81" s="48"/>
      <c r="C81" s="48"/>
      <c r="D81" s="48"/>
      <c r="E81" s="48"/>
      <c r="F81" s="48"/>
      <c r="G81" s="48"/>
    </row>
    <row r="82" spans="1:7" x14ac:dyDescent="0.15">
      <c r="A82" s="48"/>
      <c r="B82" s="48"/>
      <c r="C82" s="48"/>
      <c r="D82" s="48"/>
      <c r="E82" s="48"/>
      <c r="F82" s="48"/>
      <c r="G82" s="48"/>
    </row>
    <row r="83" spans="1:7" x14ac:dyDescent="0.15">
      <c r="A83" s="48"/>
      <c r="B83" s="48"/>
      <c r="C83" s="48"/>
      <c r="D83" s="48"/>
      <c r="E83" s="48"/>
      <c r="F83" s="48"/>
      <c r="G83" s="48"/>
    </row>
    <row r="84" spans="1:7" x14ac:dyDescent="0.15">
      <c r="A84" s="48"/>
      <c r="B84" s="48"/>
      <c r="C84" s="48"/>
      <c r="D84" s="48"/>
      <c r="E84" s="48"/>
      <c r="F84" s="48"/>
      <c r="G84" s="48"/>
    </row>
    <row r="85" spans="1:7" x14ac:dyDescent="0.15">
      <c r="A85" s="48"/>
      <c r="B85" s="48"/>
      <c r="C85" s="48"/>
      <c r="D85" s="48"/>
      <c r="E85" s="48"/>
      <c r="F85" s="48"/>
      <c r="G85" s="48"/>
    </row>
    <row r="86" spans="1:7" x14ac:dyDescent="0.15">
      <c r="A86" s="48"/>
      <c r="B86" s="48"/>
      <c r="C86" s="48"/>
      <c r="D86" s="48"/>
      <c r="E86" s="48"/>
      <c r="F86" s="48"/>
      <c r="G86" s="48"/>
    </row>
    <row r="87" spans="1:7" x14ac:dyDescent="0.15">
      <c r="A87" s="48"/>
      <c r="B87" s="48"/>
      <c r="C87" s="48"/>
      <c r="D87" s="48"/>
      <c r="E87" s="48"/>
      <c r="F87" s="48"/>
      <c r="G87" s="48"/>
    </row>
    <row r="88" spans="1:7" x14ac:dyDescent="0.15">
      <c r="A88" s="48"/>
      <c r="B88" s="48"/>
      <c r="C88" s="48"/>
      <c r="D88" s="48"/>
      <c r="E88" s="48"/>
      <c r="F88" s="48"/>
      <c r="G88" s="48"/>
    </row>
    <row r="89" spans="1:7" x14ac:dyDescent="0.15">
      <c r="A89" s="48"/>
      <c r="B89" s="48"/>
      <c r="C89" s="48"/>
      <c r="D89" s="48"/>
      <c r="E89" s="48"/>
      <c r="F89" s="48"/>
      <c r="G89" s="48"/>
    </row>
    <row r="90" spans="1:7" x14ac:dyDescent="0.15">
      <c r="A90" s="48"/>
      <c r="B90" s="48"/>
      <c r="C90" s="48"/>
      <c r="D90" s="48"/>
      <c r="E90" s="48"/>
      <c r="F90" s="48"/>
      <c r="G90" s="48"/>
    </row>
    <row r="91" spans="1:7" x14ac:dyDescent="0.15">
      <c r="A91" s="48"/>
      <c r="B91" s="48"/>
      <c r="C91" s="48"/>
      <c r="D91" s="48"/>
      <c r="E91" s="48"/>
      <c r="F91" s="48"/>
      <c r="G91" s="48"/>
    </row>
    <row r="92" spans="1:7" x14ac:dyDescent="0.15">
      <c r="A92" s="48"/>
      <c r="B92" s="48"/>
      <c r="C92" s="48"/>
      <c r="D92" s="48"/>
      <c r="E92" s="48"/>
      <c r="F92" s="48"/>
      <c r="G92" s="48"/>
    </row>
    <row r="93" spans="1:7" x14ac:dyDescent="0.15">
      <c r="A93" s="48"/>
      <c r="B93" s="48"/>
      <c r="C93" s="48"/>
      <c r="D93" s="48"/>
      <c r="E93" s="48"/>
      <c r="F93" s="48"/>
      <c r="G93" s="48"/>
    </row>
    <row r="94" spans="1:7" x14ac:dyDescent="0.15">
      <c r="A94" s="48"/>
      <c r="B94" s="48"/>
      <c r="C94" s="48"/>
      <c r="D94" s="48"/>
      <c r="E94" s="48"/>
      <c r="F94" s="48"/>
      <c r="G94" s="48"/>
    </row>
    <row r="95" spans="1:7" x14ac:dyDescent="0.15">
      <c r="A95" s="48"/>
      <c r="B95" s="48"/>
      <c r="C95" s="48"/>
      <c r="D95" s="48"/>
      <c r="E95" s="48"/>
      <c r="F95" s="48"/>
      <c r="G95" s="48"/>
    </row>
  </sheetData>
  <pageMargins left="0.75" right="0.75" top="1" bottom="1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G101"/>
  <sheetViews>
    <sheetView topLeftCell="A27" zoomScale="125" zoomScaleNormal="125" workbookViewId="0">
      <selection activeCell="A72" sqref="A72"/>
    </sheetView>
  </sheetViews>
  <sheetFormatPr baseColWidth="10" defaultRowHeight="13" x14ac:dyDescent="0.15"/>
  <cols>
    <col min="1" max="2" width="14.5" customWidth="1"/>
    <col min="3" max="3" width="18.33203125" customWidth="1"/>
    <col min="4" max="4" width="14.5" customWidth="1"/>
    <col min="5" max="5" width="27.6640625" customWidth="1"/>
    <col min="6" max="6" width="22.1640625" customWidth="1"/>
    <col min="7" max="7" width="36" customWidth="1"/>
  </cols>
  <sheetData>
    <row r="1" spans="1:7" ht="14" x14ac:dyDescent="0.15">
      <c r="A1" s="77" t="s">
        <v>680</v>
      </c>
      <c r="B1" s="78" t="s">
        <v>681</v>
      </c>
      <c r="C1" s="79" t="s">
        <v>229</v>
      </c>
      <c r="D1" s="80" t="s">
        <v>230</v>
      </c>
      <c r="E1" s="82" t="s">
        <v>152</v>
      </c>
      <c r="F1" s="79" t="s">
        <v>86</v>
      </c>
      <c r="G1" s="81" t="s">
        <v>802</v>
      </c>
    </row>
    <row r="2" spans="1:7" ht="16" customHeight="1" x14ac:dyDescent="0.15">
      <c r="A2" s="94">
        <v>41885</v>
      </c>
      <c r="B2" s="74">
        <v>0.45833333333333331</v>
      </c>
      <c r="C2" s="70" t="s">
        <v>679</v>
      </c>
      <c r="D2" s="72">
        <v>558</v>
      </c>
      <c r="E2" s="83" t="s">
        <v>1104</v>
      </c>
      <c r="F2" s="70" t="s">
        <v>87</v>
      </c>
      <c r="G2" s="68"/>
    </row>
    <row r="3" spans="1:7" ht="16" customHeight="1" x14ac:dyDescent="0.15">
      <c r="A3" s="95">
        <v>41898</v>
      </c>
      <c r="B3" s="61" t="s">
        <v>574</v>
      </c>
      <c r="C3" s="61" t="s">
        <v>250</v>
      </c>
      <c r="D3" s="73">
        <v>158</v>
      </c>
      <c r="E3" s="61"/>
      <c r="F3" s="61" t="s">
        <v>87</v>
      </c>
      <c r="G3" s="48" t="s">
        <v>1105</v>
      </c>
    </row>
    <row r="4" spans="1:7" ht="16" customHeight="1" x14ac:dyDescent="0.15">
      <c r="A4" s="96"/>
      <c r="B4" s="87" t="s">
        <v>1041</v>
      </c>
      <c r="C4" s="87" t="s">
        <v>1042</v>
      </c>
      <c r="D4" s="88" t="s">
        <v>1117</v>
      </c>
      <c r="E4" s="87"/>
      <c r="F4" s="61" t="s">
        <v>87</v>
      </c>
      <c r="G4" s="48"/>
    </row>
    <row r="5" spans="1:7" ht="16" customHeight="1" x14ac:dyDescent="0.15">
      <c r="A5" s="97">
        <v>41907</v>
      </c>
      <c r="B5" s="62" t="s">
        <v>920</v>
      </c>
      <c r="C5" s="48" t="s">
        <v>1106</v>
      </c>
      <c r="D5" s="62"/>
      <c r="E5" s="62"/>
      <c r="F5" s="62" t="s">
        <v>88</v>
      </c>
      <c r="G5" s="48"/>
    </row>
    <row r="6" spans="1:7" ht="16" customHeight="1" x14ac:dyDescent="0.15">
      <c r="A6" s="97">
        <v>41908</v>
      </c>
      <c r="B6" s="62" t="s">
        <v>920</v>
      </c>
      <c r="C6" s="62" t="s">
        <v>1107</v>
      </c>
      <c r="D6" s="62"/>
      <c r="E6" s="62"/>
      <c r="F6" s="62" t="s">
        <v>88</v>
      </c>
      <c r="G6" s="48"/>
    </row>
    <row r="7" spans="1:7" ht="16" customHeight="1" x14ac:dyDescent="0.15">
      <c r="A7" s="97">
        <v>41909</v>
      </c>
      <c r="B7" s="62" t="s">
        <v>576</v>
      </c>
      <c r="C7" s="62" t="s">
        <v>1108</v>
      </c>
      <c r="D7" s="62">
        <v>239</v>
      </c>
      <c r="E7" s="62"/>
      <c r="F7" s="62" t="s">
        <v>87</v>
      </c>
      <c r="G7" s="48"/>
    </row>
    <row r="8" spans="1:7" ht="16" customHeight="1" x14ac:dyDescent="0.15">
      <c r="A8" s="97">
        <v>41918</v>
      </c>
      <c r="B8" s="62" t="s">
        <v>574</v>
      </c>
      <c r="C8" s="62" t="s">
        <v>1109</v>
      </c>
      <c r="D8" s="62">
        <v>244</v>
      </c>
      <c r="E8" s="62"/>
      <c r="F8" s="62" t="s">
        <v>87</v>
      </c>
      <c r="G8" s="48"/>
    </row>
    <row r="9" spans="1:7" ht="16" customHeight="1" x14ac:dyDescent="0.15">
      <c r="A9" s="97">
        <v>41923</v>
      </c>
      <c r="B9" s="62" t="s">
        <v>1110</v>
      </c>
      <c r="C9" s="62" t="s">
        <v>1111</v>
      </c>
      <c r="D9" s="62">
        <v>191</v>
      </c>
      <c r="E9" s="62"/>
      <c r="F9" s="62" t="s">
        <v>88</v>
      </c>
      <c r="G9" s="48"/>
    </row>
    <row r="10" spans="1:7" ht="16" customHeight="1" x14ac:dyDescent="0.15">
      <c r="A10" s="97">
        <v>41923</v>
      </c>
      <c r="B10" s="62" t="s">
        <v>576</v>
      </c>
      <c r="C10" s="62" t="s">
        <v>520</v>
      </c>
      <c r="D10" s="62">
        <v>306</v>
      </c>
      <c r="E10" s="62"/>
      <c r="F10" s="62" t="s">
        <v>87</v>
      </c>
      <c r="G10" s="48"/>
    </row>
    <row r="11" spans="1:7" ht="16" customHeight="1" x14ac:dyDescent="0.15">
      <c r="A11" s="97">
        <v>41925</v>
      </c>
      <c r="B11" s="62" t="s">
        <v>916</v>
      </c>
      <c r="C11" s="62" t="s">
        <v>520</v>
      </c>
      <c r="D11" s="62">
        <v>274</v>
      </c>
      <c r="E11" s="62"/>
      <c r="F11" s="62" t="s">
        <v>87</v>
      </c>
      <c r="G11" s="48"/>
    </row>
    <row r="12" spans="1:7" ht="16" customHeight="1" x14ac:dyDescent="0.15">
      <c r="A12" s="97">
        <v>41928</v>
      </c>
      <c r="B12" s="62" t="s">
        <v>594</v>
      </c>
      <c r="C12" s="62" t="s">
        <v>56</v>
      </c>
      <c r="D12" s="99" t="s">
        <v>717</v>
      </c>
      <c r="E12" s="62"/>
      <c r="F12" s="62" t="s">
        <v>88</v>
      </c>
      <c r="G12" s="48"/>
    </row>
    <row r="13" spans="1:7" ht="16" customHeight="1" x14ac:dyDescent="0.15">
      <c r="A13" s="97">
        <v>41939</v>
      </c>
      <c r="B13" s="62" t="s">
        <v>574</v>
      </c>
      <c r="C13" s="62" t="s">
        <v>1112</v>
      </c>
      <c r="D13" s="62">
        <v>325</v>
      </c>
      <c r="E13" s="62"/>
      <c r="F13" s="62" t="s">
        <v>87</v>
      </c>
      <c r="G13" s="48"/>
    </row>
    <row r="14" spans="1:7" ht="16" customHeight="1" x14ac:dyDescent="0.15">
      <c r="A14" s="97">
        <v>41940</v>
      </c>
      <c r="B14" s="62" t="s">
        <v>920</v>
      </c>
      <c r="C14" s="62" t="s">
        <v>1113</v>
      </c>
      <c r="D14" s="62">
        <v>100</v>
      </c>
      <c r="E14" s="62"/>
      <c r="F14" s="62" t="s">
        <v>88</v>
      </c>
      <c r="G14" s="48"/>
    </row>
    <row r="15" spans="1:7" ht="16" customHeight="1" x14ac:dyDescent="0.15">
      <c r="A15" s="97">
        <v>41942</v>
      </c>
      <c r="B15" s="62" t="s">
        <v>594</v>
      </c>
      <c r="C15" s="62" t="s">
        <v>56</v>
      </c>
      <c r="D15" s="62">
        <v>52</v>
      </c>
      <c r="E15" s="62"/>
      <c r="F15" s="62" t="s">
        <v>88</v>
      </c>
      <c r="G15" s="48"/>
    </row>
    <row r="16" spans="1:7" ht="16" customHeight="1" x14ac:dyDescent="0.15">
      <c r="A16" s="97">
        <v>41944</v>
      </c>
      <c r="B16" s="62" t="s">
        <v>1110</v>
      </c>
      <c r="C16" s="62" t="s">
        <v>1118</v>
      </c>
      <c r="D16" s="62" t="s">
        <v>307</v>
      </c>
      <c r="E16" s="62"/>
      <c r="F16" s="62" t="s">
        <v>88</v>
      </c>
      <c r="G16" s="48"/>
    </row>
    <row r="17" spans="1:7" ht="16" customHeight="1" x14ac:dyDescent="0.15">
      <c r="A17" s="97">
        <v>41946</v>
      </c>
      <c r="B17" s="62" t="s">
        <v>574</v>
      </c>
      <c r="C17" s="62" t="s">
        <v>1114</v>
      </c>
      <c r="D17" s="62">
        <v>298</v>
      </c>
      <c r="E17" s="62"/>
      <c r="F17" s="62" t="s">
        <v>87</v>
      </c>
      <c r="G17" s="48"/>
    </row>
    <row r="18" spans="1:7" ht="16" customHeight="1" x14ac:dyDescent="0.15">
      <c r="A18" s="97">
        <v>41951</v>
      </c>
      <c r="B18" s="62" t="s">
        <v>1110</v>
      </c>
      <c r="C18" s="62" t="s">
        <v>1115</v>
      </c>
      <c r="D18" s="89">
        <v>171</v>
      </c>
      <c r="E18" s="62"/>
      <c r="F18" s="62" t="s">
        <v>88</v>
      </c>
      <c r="G18" s="48"/>
    </row>
    <row r="19" spans="1:7" ht="16" customHeight="1" x14ac:dyDescent="0.15">
      <c r="A19" s="97">
        <v>41952</v>
      </c>
      <c r="B19" s="62" t="s">
        <v>576</v>
      </c>
      <c r="C19" s="62" t="s">
        <v>1116</v>
      </c>
      <c r="D19" s="89">
        <v>24</v>
      </c>
      <c r="E19" s="62"/>
      <c r="F19" s="62" t="s">
        <v>88</v>
      </c>
      <c r="G19" s="48"/>
    </row>
    <row r="20" spans="1:7" ht="16" customHeight="1" x14ac:dyDescent="0.15">
      <c r="A20" s="97">
        <v>41958</v>
      </c>
      <c r="B20" s="65" t="s">
        <v>619</v>
      </c>
      <c r="C20" s="62" t="s">
        <v>56</v>
      </c>
      <c r="D20" s="62">
        <v>22</v>
      </c>
      <c r="E20" s="62"/>
      <c r="F20" s="62" t="s">
        <v>88</v>
      </c>
      <c r="G20" s="48"/>
    </row>
    <row r="21" spans="1:7" ht="16" customHeight="1" x14ac:dyDescent="0.15">
      <c r="A21" s="97">
        <v>41958</v>
      </c>
      <c r="B21" s="62" t="s">
        <v>576</v>
      </c>
      <c r="C21" s="62" t="s">
        <v>382</v>
      </c>
      <c r="D21" s="62">
        <v>126</v>
      </c>
      <c r="E21" s="62"/>
      <c r="F21" s="62" t="s">
        <v>87</v>
      </c>
      <c r="G21" s="48"/>
    </row>
    <row r="22" spans="1:7" ht="16" customHeight="1" x14ac:dyDescent="0.15">
      <c r="A22" s="97">
        <v>41960</v>
      </c>
      <c r="B22" s="62" t="s">
        <v>574</v>
      </c>
      <c r="C22" s="62" t="s">
        <v>382</v>
      </c>
      <c r="D22" s="62">
        <v>185</v>
      </c>
      <c r="E22" s="62"/>
      <c r="F22" s="62" t="s">
        <v>87</v>
      </c>
      <c r="G22" s="48"/>
    </row>
    <row r="23" spans="1:7" ht="21" customHeight="1" x14ac:dyDescent="0.15">
      <c r="A23" s="97">
        <v>41962</v>
      </c>
      <c r="B23" s="62" t="s">
        <v>638</v>
      </c>
      <c r="C23" s="62" t="s">
        <v>413</v>
      </c>
      <c r="D23" s="62">
        <v>235</v>
      </c>
      <c r="E23" s="100" t="s">
        <v>1119</v>
      </c>
      <c r="F23" s="62" t="s">
        <v>88</v>
      </c>
      <c r="G23" s="48"/>
    </row>
    <row r="24" spans="1:7" ht="16" customHeight="1" x14ac:dyDescent="0.15">
      <c r="A24" s="97">
        <v>41972</v>
      </c>
      <c r="B24" s="62" t="s">
        <v>576</v>
      </c>
      <c r="C24" s="62" t="s">
        <v>392</v>
      </c>
      <c r="D24" s="62">
        <v>385</v>
      </c>
      <c r="E24" s="62"/>
      <c r="F24" s="62" t="s">
        <v>87</v>
      </c>
      <c r="G24" s="48"/>
    </row>
    <row r="25" spans="1:7" ht="16" customHeight="1" x14ac:dyDescent="0.15">
      <c r="A25" s="97">
        <v>41974</v>
      </c>
      <c r="B25" s="62" t="s">
        <v>574</v>
      </c>
      <c r="C25" s="62" t="s">
        <v>392</v>
      </c>
      <c r="D25" s="62">
        <v>438</v>
      </c>
      <c r="E25" s="98" t="s">
        <v>523</v>
      </c>
      <c r="F25" s="62" t="s">
        <v>87</v>
      </c>
      <c r="G25" s="48"/>
    </row>
    <row r="26" spans="1:7" ht="16" customHeight="1" x14ac:dyDescent="0.15">
      <c r="A26" s="97">
        <v>41975</v>
      </c>
      <c r="B26" s="62" t="s">
        <v>576</v>
      </c>
      <c r="C26" s="62" t="s">
        <v>935</v>
      </c>
      <c r="D26" s="76">
        <v>150</v>
      </c>
      <c r="E26" s="62"/>
      <c r="F26" s="62" t="s">
        <v>88</v>
      </c>
      <c r="G26" s="48"/>
    </row>
    <row r="27" spans="1:7" ht="16" customHeight="1" x14ac:dyDescent="0.15">
      <c r="A27" s="97">
        <v>41977</v>
      </c>
      <c r="B27" s="62" t="s">
        <v>608</v>
      </c>
      <c r="C27" s="62" t="s">
        <v>56</v>
      </c>
      <c r="D27" s="76"/>
      <c r="E27" s="62"/>
      <c r="F27" s="62" t="s">
        <v>88</v>
      </c>
      <c r="G27" s="48"/>
    </row>
    <row r="28" spans="1:7" ht="16" customHeight="1" x14ac:dyDescent="0.15">
      <c r="A28" s="97">
        <v>41979</v>
      </c>
      <c r="B28" s="62" t="s">
        <v>576</v>
      </c>
      <c r="C28" s="62" t="s">
        <v>520</v>
      </c>
      <c r="D28" s="76">
        <v>271</v>
      </c>
      <c r="E28" s="62"/>
      <c r="F28" s="62" t="s">
        <v>87</v>
      </c>
      <c r="G28" s="48"/>
    </row>
    <row r="29" spans="1:7" ht="16" customHeight="1" x14ac:dyDescent="0.15">
      <c r="A29" s="97">
        <v>41981</v>
      </c>
      <c r="B29" s="62" t="s">
        <v>574</v>
      </c>
      <c r="C29" s="62" t="s">
        <v>520</v>
      </c>
      <c r="D29" s="62">
        <v>272</v>
      </c>
      <c r="E29" s="62"/>
      <c r="F29" s="62" t="s">
        <v>87</v>
      </c>
      <c r="G29" s="48"/>
    </row>
    <row r="30" spans="1:7" ht="16" customHeight="1" x14ac:dyDescent="0.15">
      <c r="A30" s="97">
        <v>41982</v>
      </c>
      <c r="B30" s="62" t="s">
        <v>576</v>
      </c>
      <c r="C30" s="62" t="s">
        <v>484</v>
      </c>
      <c r="D30" s="62">
        <v>150</v>
      </c>
      <c r="E30" s="62"/>
      <c r="F30" s="62" t="s">
        <v>87</v>
      </c>
      <c r="G30" s="48"/>
    </row>
    <row r="31" spans="1:7" ht="16" customHeight="1" x14ac:dyDescent="0.15">
      <c r="A31" s="97">
        <v>41983</v>
      </c>
      <c r="B31" s="62" t="s">
        <v>608</v>
      </c>
      <c r="C31" s="62" t="s">
        <v>56</v>
      </c>
      <c r="D31" s="62">
        <v>28</v>
      </c>
      <c r="E31" s="62"/>
      <c r="F31" s="62" t="s">
        <v>88</v>
      </c>
      <c r="G31" s="48"/>
    </row>
    <row r="32" spans="1:7" ht="16" customHeight="1" x14ac:dyDescent="0.15">
      <c r="A32" s="97">
        <v>41984</v>
      </c>
      <c r="B32" s="62" t="s">
        <v>608</v>
      </c>
      <c r="C32" s="75" t="s">
        <v>56</v>
      </c>
      <c r="D32" s="62">
        <v>31</v>
      </c>
      <c r="E32" s="62"/>
      <c r="F32" s="62" t="s">
        <v>88</v>
      </c>
      <c r="G32" s="48"/>
    </row>
    <row r="33" spans="1:7" x14ac:dyDescent="0.15">
      <c r="A33" s="63"/>
      <c r="B33" s="63"/>
      <c r="C33" s="63"/>
      <c r="D33" s="63"/>
      <c r="E33" s="63"/>
      <c r="F33" s="63"/>
      <c r="G33" s="48"/>
    </row>
    <row r="34" spans="1:7" x14ac:dyDescent="0.15">
      <c r="A34" s="48"/>
      <c r="B34" s="48"/>
      <c r="C34" s="48"/>
      <c r="D34" s="48"/>
      <c r="E34" s="48"/>
      <c r="F34" s="48"/>
      <c r="G34" s="48"/>
    </row>
    <row r="35" spans="1:7" ht="16" customHeight="1" x14ac:dyDescent="0.15">
      <c r="A35" s="101">
        <v>42035</v>
      </c>
      <c r="B35" s="62" t="s">
        <v>576</v>
      </c>
      <c r="C35" s="62" t="s">
        <v>937</v>
      </c>
      <c r="D35" s="62">
        <v>49</v>
      </c>
      <c r="E35" s="62"/>
      <c r="F35" s="62" t="s">
        <v>88</v>
      </c>
      <c r="G35" s="48"/>
    </row>
    <row r="36" spans="1:7" ht="16" customHeight="1" x14ac:dyDescent="0.15">
      <c r="A36" s="101">
        <v>42036</v>
      </c>
      <c r="B36" s="62" t="s">
        <v>574</v>
      </c>
      <c r="C36" s="62" t="s">
        <v>938</v>
      </c>
      <c r="D36" s="62">
        <v>25</v>
      </c>
      <c r="E36" s="62"/>
      <c r="F36" s="62" t="s">
        <v>88</v>
      </c>
      <c r="G36" s="48"/>
    </row>
    <row r="37" spans="1:7" ht="16" customHeight="1" x14ac:dyDescent="0.15">
      <c r="A37" s="101">
        <v>42036</v>
      </c>
      <c r="B37" s="62" t="s">
        <v>576</v>
      </c>
      <c r="C37" s="62" t="s">
        <v>939</v>
      </c>
      <c r="D37" s="62">
        <v>63</v>
      </c>
      <c r="E37" s="62"/>
      <c r="F37" s="62" t="s">
        <v>88</v>
      </c>
      <c r="G37" s="48"/>
    </row>
    <row r="38" spans="1:7" ht="16" customHeight="1" x14ac:dyDescent="0.15">
      <c r="A38" s="101">
        <v>42037</v>
      </c>
      <c r="B38" s="62" t="s">
        <v>574</v>
      </c>
      <c r="C38" s="62" t="s">
        <v>941</v>
      </c>
      <c r="D38" s="62">
        <v>197</v>
      </c>
      <c r="E38" s="62"/>
      <c r="F38" s="62" t="s">
        <v>942</v>
      </c>
      <c r="G38" s="48"/>
    </row>
    <row r="39" spans="1:7" ht="16" customHeight="1" x14ac:dyDescent="0.15">
      <c r="A39" s="101">
        <v>42040</v>
      </c>
      <c r="B39" s="62" t="s">
        <v>920</v>
      </c>
      <c r="C39" s="62" t="s">
        <v>1127</v>
      </c>
      <c r="D39" s="62">
        <v>153</v>
      </c>
      <c r="E39" s="62"/>
      <c r="F39" s="62"/>
      <c r="G39" s="48"/>
    </row>
    <row r="40" spans="1:7" ht="16" customHeight="1" x14ac:dyDescent="0.15">
      <c r="A40" s="101">
        <v>42049</v>
      </c>
      <c r="B40" s="62" t="s">
        <v>576</v>
      </c>
      <c r="C40" s="62" t="s">
        <v>1120</v>
      </c>
      <c r="D40" s="62">
        <v>197</v>
      </c>
      <c r="E40" s="62"/>
      <c r="F40" s="92" t="s">
        <v>942</v>
      </c>
      <c r="G40" s="48"/>
    </row>
    <row r="41" spans="1:7" ht="16" customHeight="1" x14ac:dyDescent="0.15">
      <c r="A41" s="101">
        <v>42054</v>
      </c>
      <c r="B41" s="62" t="s">
        <v>594</v>
      </c>
      <c r="C41" s="62" t="s">
        <v>56</v>
      </c>
      <c r="D41" s="62">
        <v>32</v>
      </c>
      <c r="E41" s="62"/>
      <c r="F41" s="62" t="s">
        <v>88</v>
      </c>
      <c r="G41" s="48"/>
    </row>
    <row r="42" spans="1:7" ht="16" customHeight="1" x14ac:dyDescent="0.15">
      <c r="A42" s="101">
        <v>42058</v>
      </c>
      <c r="B42" s="62" t="s">
        <v>576</v>
      </c>
      <c r="C42" s="62" t="s">
        <v>1123</v>
      </c>
      <c r="D42" s="62">
        <v>181</v>
      </c>
      <c r="E42" s="62"/>
      <c r="F42" s="87" t="s">
        <v>942</v>
      </c>
      <c r="G42" s="48"/>
    </row>
    <row r="43" spans="1:7" ht="16" customHeight="1" x14ac:dyDescent="0.15">
      <c r="A43" s="101">
        <v>42063</v>
      </c>
      <c r="B43" s="62" t="s">
        <v>576</v>
      </c>
      <c r="C43" s="62" t="s">
        <v>520</v>
      </c>
      <c r="D43" s="62" t="s">
        <v>1124</v>
      </c>
      <c r="E43" s="62" t="s">
        <v>1122</v>
      </c>
      <c r="F43" s="87" t="s">
        <v>942</v>
      </c>
      <c r="G43" s="48"/>
    </row>
    <row r="44" spans="1:7" ht="16" customHeight="1" x14ac:dyDescent="0.15">
      <c r="A44" s="101">
        <v>42064</v>
      </c>
      <c r="B44" s="62" t="s">
        <v>576</v>
      </c>
      <c r="C44" s="62" t="s">
        <v>1121</v>
      </c>
      <c r="D44" s="62">
        <v>64</v>
      </c>
      <c r="E44" s="62"/>
      <c r="F44" s="87" t="s">
        <v>88</v>
      </c>
      <c r="G44" s="48"/>
    </row>
    <row r="45" spans="1:7" ht="16" customHeight="1" x14ac:dyDescent="0.15">
      <c r="A45" s="101">
        <v>42065</v>
      </c>
      <c r="B45" s="62" t="s">
        <v>574</v>
      </c>
      <c r="C45" s="62" t="s">
        <v>520</v>
      </c>
      <c r="D45" s="62">
        <v>254</v>
      </c>
      <c r="E45" s="62"/>
      <c r="F45" s="62" t="s">
        <v>942</v>
      </c>
      <c r="G45" s="48"/>
    </row>
    <row r="46" spans="1:7" ht="16" customHeight="1" x14ac:dyDescent="0.15">
      <c r="A46" s="101">
        <v>42068</v>
      </c>
      <c r="B46" s="62" t="s">
        <v>594</v>
      </c>
      <c r="C46" s="62" t="s">
        <v>56</v>
      </c>
      <c r="D46" s="93" t="s">
        <v>90</v>
      </c>
      <c r="E46" s="62"/>
      <c r="F46" s="62" t="s">
        <v>88</v>
      </c>
      <c r="G46" s="48"/>
    </row>
    <row r="47" spans="1:7" ht="16" customHeight="1" x14ac:dyDescent="0.15">
      <c r="A47" s="101">
        <v>42074</v>
      </c>
      <c r="B47" s="62" t="s">
        <v>638</v>
      </c>
      <c r="C47" s="62" t="s">
        <v>956</v>
      </c>
      <c r="D47" s="62">
        <v>273</v>
      </c>
      <c r="E47" s="62" t="s">
        <v>1128</v>
      </c>
      <c r="F47" s="62" t="s">
        <v>88</v>
      </c>
      <c r="G47" s="48"/>
    </row>
    <row r="48" spans="1:7" ht="16" customHeight="1" x14ac:dyDescent="0.15">
      <c r="A48" s="101">
        <v>42075</v>
      </c>
      <c r="B48" s="62" t="s">
        <v>576</v>
      </c>
      <c r="C48" s="62" t="s">
        <v>1125</v>
      </c>
      <c r="D48" s="62">
        <v>400</v>
      </c>
      <c r="E48" s="62" t="s">
        <v>1126</v>
      </c>
      <c r="F48" s="62" t="s">
        <v>942</v>
      </c>
      <c r="G48" s="48"/>
    </row>
    <row r="49" spans="1:7" ht="16" customHeight="1" x14ac:dyDescent="0.15">
      <c r="A49" s="101">
        <v>42092</v>
      </c>
      <c r="B49" s="62" t="s">
        <v>576</v>
      </c>
      <c r="C49" s="62" t="s">
        <v>1129</v>
      </c>
      <c r="D49" s="62">
        <v>89</v>
      </c>
      <c r="E49" s="62"/>
      <c r="F49" s="62" t="s">
        <v>88</v>
      </c>
      <c r="G49" s="48"/>
    </row>
    <row r="50" spans="1:7" ht="16" customHeight="1" x14ac:dyDescent="0.15">
      <c r="A50" s="101">
        <v>42093</v>
      </c>
      <c r="B50" s="62" t="s">
        <v>576</v>
      </c>
      <c r="C50" s="62" t="s">
        <v>1130</v>
      </c>
      <c r="D50" s="62">
        <v>121</v>
      </c>
      <c r="E50" s="62"/>
      <c r="F50" s="62" t="s">
        <v>942</v>
      </c>
      <c r="G50" s="48"/>
    </row>
    <row r="51" spans="1:7" ht="16" customHeight="1" x14ac:dyDescent="0.15">
      <c r="A51" s="101">
        <v>42098</v>
      </c>
      <c r="B51" s="62" t="s">
        <v>576</v>
      </c>
      <c r="C51" s="62" t="s">
        <v>1131</v>
      </c>
      <c r="D51" s="62">
        <v>80</v>
      </c>
      <c r="E51" s="62"/>
      <c r="F51" s="62" t="s">
        <v>88</v>
      </c>
      <c r="G51" s="48"/>
    </row>
    <row r="52" spans="1:7" ht="16" customHeight="1" x14ac:dyDescent="0.15">
      <c r="A52" s="101">
        <v>42100</v>
      </c>
      <c r="B52" s="62" t="s">
        <v>576</v>
      </c>
      <c r="C52" s="62" t="s">
        <v>1133</v>
      </c>
      <c r="D52" s="62">
        <v>115</v>
      </c>
      <c r="E52" s="62"/>
      <c r="F52" s="62" t="s">
        <v>942</v>
      </c>
      <c r="G52" s="48"/>
    </row>
    <row r="53" spans="1:7" ht="16" customHeight="1" x14ac:dyDescent="0.15">
      <c r="A53" s="101">
        <v>42103</v>
      </c>
      <c r="B53" s="62" t="s">
        <v>594</v>
      </c>
      <c r="C53" s="62" t="s">
        <v>56</v>
      </c>
      <c r="D53" s="62">
        <v>62</v>
      </c>
      <c r="E53" s="62"/>
      <c r="F53" s="62" t="s">
        <v>88</v>
      </c>
      <c r="G53" s="48"/>
    </row>
    <row r="54" spans="1:7" ht="16" customHeight="1" x14ac:dyDescent="0.15">
      <c r="A54" s="101">
        <v>42106</v>
      </c>
      <c r="B54" s="62" t="s">
        <v>576</v>
      </c>
      <c r="C54" s="62" t="s">
        <v>1132</v>
      </c>
      <c r="D54" s="62">
        <v>83</v>
      </c>
      <c r="E54" s="62"/>
      <c r="F54" s="62" t="s">
        <v>88</v>
      </c>
      <c r="G54" s="48"/>
    </row>
    <row r="55" spans="1:7" ht="16" customHeight="1" x14ac:dyDescent="0.15">
      <c r="A55" s="101">
        <v>42112</v>
      </c>
      <c r="B55" s="62" t="s">
        <v>576</v>
      </c>
      <c r="C55" s="62" t="s">
        <v>963</v>
      </c>
      <c r="D55" s="62">
        <v>313</v>
      </c>
      <c r="E55" s="62"/>
      <c r="F55" s="62" t="s">
        <v>942</v>
      </c>
      <c r="G55" s="48"/>
    </row>
    <row r="56" spans="1:7" ht="16" customHeight="1" x14ac:dyDescent="0.15">
      <c r="A56" s="101">
        <v>42114</v>
      </c>
      <c r="B56" s="62" t="s">
        <v>574</v>
      </c>
      <c r="C56" s="62" t="s">
        <v>963</v>
      </c>
      <c r="D56" s="62">
        <v>458</v>
      </c>
      <c r="E56" s="62"/>
      <c r="F56" s="62" t="s">
        <v>942</v>
      </c>
      <c r="G56" s="48"/>
    </row>
    <row r="57" spans="1:7" ht="16" customHeight="1" x14ac:dyDescent="0.15">
      <c r="A57" s="101">
        <v>42119</v>
      </c>
      <c r="B57" s="102" t="s">
        <v>619</v>
      </c>
      <c r="C57" s="62" t="s">
        <v>56</v>
      </c>
      <c r="D57" s="62">
        <v>45</v>
      </c>
      <c r="E57" s="62"/>
      <c r="F57" s="62" t="s">
        <v>88</v>
      </c>
      <c r="G57" s="48"/>
    </row>
    <row r="58" spans="1:7" ht="16" customHeight="1" x14ac:dyDescent="0.15">
      <c r="A58" s="101">
        <v>42121</v>
      </c>
      <c r="B58" s="62" t="s">
        <v>574</v>
      </c>
      <c r="C58" s="62" t="s">
        <v>1134</v>
      </c>
      <c r="D58" s="62">
        <v>135</v>
      </c>
      <c r="E58" s="62"/>
      <c r="F58" s="62" t="s">
        <v>942</v>
      </c>
      <c r="G58" s="48"/>
    </row>
    <row r="59" spans="1:7" ht="16" customHeight="1" x14ac:dyDescent="0.15">
      <c r="A59" s="101">
        <v>42122</v>
      </c>
      <c r="B59" s="62" t="s">
        <v>594</v>
      </c>
      <c r="C59" s="62" t="s">
        <v>532</v>
      </c>
      <c r="D59" s="62">
        <v>100</v>
      </c>
      <c r="E59" s="62"/>
      <c r="F59" s="62" t="s">
        <v>88</v>
      </c>
      <c r="G59" s="48"/>
    </row>
    <row r="60" spans="1:7" ht="16" customHeight="1" x14ac:dyDescent="0.15">
      <c r="A60" s="101">
        <v>42124</v>
      </c>
      <c r="B60" s="62" t="s">
        <v>576</v>
      </c>
      <c r="C60" s="62" t="s">
        <v>1135</v>
      </c>
      <c r="D60" s="62">
        <v>102</v>
      </c>
      <c r="E60" s="62"/>
      <c r="F60" s="62" t="s">
        <v>88</v>
      </c>
      <c r="G60" s="48"/>
    </row>
    <row r="61" spans="1:7" ht="16" customHeight="1" x14ac:dyDescent="0.15">
      <c r="A61" s="101">
        <v>42125</v>
      </c>
      <c r="B61" s="62" t="s">
        <v>576</v>
      </c>
      <c r="C61" s="62" t="s">
        <v>967</v>
      </c>
      <c r="D61" s="62">
        <v>167</v>
      </c>
      <c r="E61" s="62"/>
      <c r="F61" s="62" t="s">
        <v>942</v>
      </c>
      <c r="G61" s="48"/>
    </row>
    <row r="62" spans="1:7" ht="16" customHeight="1" x14ac:dyDescent="0.15">
      <c r="A62" s="101">
        <v>42126</v>
      </c>
      <c r="B62" s="62" t="s">
        <v>576</v>
      </c>
      <c r="C62" s="62" t="s">
        <v>968</v>
      </c>
      <c r="D62" s="62">
        <v>239</v>
      </c>
      <c r="E62" s="62" t="s">
        <v>1235</v>
      </c>
      <c r="F62" s="62" t="s">
        <v>942</v>
      </c>
      <c r="G62" s="48"/>
    </row>
    <row r="63" spans="1:7" ht="16" customHeight="1" x14ac:dyDescent="0.15">
      <c r="A63" s="101">
        <v>42127</v>
      </c>
      <c r="B63" s="62" t="s">
        <v>778</v>
      </c>
      <c r="C63" s="62" t="s">
        <v>382</v>
      </c>
      <c r="D63" s="62">
        <v>238</v>
      </c>
      <c r="E63" s="62" t="s">
        <v>1235</v>
      </c>
      <c r="F63" s="62" t="s">
        <v>942</v>
      </c>
      <c r="G63" s="48"/>
    </row>
    <row r="64" spans="1:7" ht="16" customHeight="1" x14ac:dyDescent="0.15">
      <c r="A64" s="101">
        <v>42127</v>
      </c>
      <c r="B64" s="62" t="s">
        <v>671</v>
      </c>
      <c r="C64" s="62" t="s">
        <v>967</v>
      </c>
      <c r="D64" s="62">
        <v>430</v>
      </c>
      <c r="E64" s="62" t="s">
        <v>1235</v>
      </c>
      <c r="F64" s="62" t="s">
        <v>942</v>
      </c>
      <c r="G64" s="48"/>
    </row>
    <row r="65" spans="1:7" ht="16" customHeight="1" x14ac:dyDescent="0.15">
      <c r="A65" s="101">
        <v>42128</v>
      </c>
      <c r="B65" s="62" t="s">
        <v>574</v>
      </c>
      <c r="C65" s="62" t="s">
        <v>1136</v>
      </c>
      <c r="D65" s="62">
        <v>55</v>
      </c>
      <c r="E65" s="62"/>
      <c r="F65" s="62" t="s">
        <v>88</v>
      </c>
      <c r="G65" s="48"/>
    </row>
    <row r="66" spans="1:7" ht="16" customHeight="1" x14ac:dyDescent="0.15">
      <c r="A66" s="101">
        <v>42128</v>
      </c>
      <c r="B66" s="62" t="s">
        <v>576</v>
      </c>
      <c r="C66" s="62" t="s">
        <v>382</v>
      </c>
      <c r="D66" s="62">
        <v>91</v>
      </c>
      <c r="E66" s="62"/>
      <c r="F66" s="62" t="s">
        <v>942</v>
      </c>
      <c r="G66" s="48"/>
    </row>
    <row r="67" spans="1:7" ht="16" customHeight="1" x14ac:dyDescent="0.15">
      <c r="A67" s="101">
        <v>42129</v>
      </c>
      <c r="B67" s="62" t="s">
        <v>576</v>
      </c>
      <c r="C67" s="62" t="s">
        <v>484</v>
      </c>
      <c r="D67" s="76">
        <v>166</v>
      </c>
      <c r="E67" s="62"/>
      <c r="F67" s="62" t="s">
        <v>942</v>
      </c>
      <c r="G67" s="48"/>
    </row>
    <row r="68" spans="1:7" ht="16" customHeight="1" x14ac:dyDescent="0.15">
      <c r="A68" s="101">
        <v>42130</v>
      </c>
      <c r="B68" s="62" t="s">
        <v>608</v>
      </c>
      <c r="C68" s="62" t="s">
        <v>56</v>
      </c>
      <c r="D68" s="62">
        <v>58</v>
      </c>
      <c r="E68" s="62"/>
      <c r="F68" s="62" t="s">
        <v>88</v>
      </c>
      <c r="G68" s="48"/>
    </row>
    <row r="69" spans="1:7" ht="16" customHeight="1" x14ac:dyDescent="0.15">
      <c r="A69" s="101">
        <v>42131</v>
      </c>
      <c r="B69" s="62" t="s">
        <v>608</v>
      </c>
      <c r="C69" s="62" t="s">
        <v>56</v>
      </c>
      <c r="D69" s="62">
        <v>77</v>
      </c>
      <c r="E69" s="62"/>
      <c r="F69" s="62" t="s">
        <v>88</v>
      </c>
      <c r="G69" s="48"/>
    </row>
    <row r="70" spans="1:7" ht="16" customHeight="1" x14ac:dyDescent="0.15">
      <c r="A70" s="101">
        <v>42141</v>
      </c>
      <c r="B70" s="62"/>
      <c r="C70" s="62" t="s">
        <v>1137</v>
      </c>
      <c r="D70" s="62">
        <v>169</v>
      </c>
      <c r="E70" s="62"/>
      <c r="F70" s="62" t="s">
        <v>942</v>
      </c>
      <c r="G70" s="48"/>
    </row>
    <row r="71" spans="1:7" ht="16" customHeight="1" x14ac:dyDescent="0.15">
      <c r="A71" s="101">
        <v>42145</v>
      </c>
      <c r="B71" s="102" t="s">
        <v>1143</v>
      </c>
      <c r="C71" s="62" t="s">
        <v>1138</v>
      </c>
      <c r="D71" s="62">
        <v>125</v>
      </c>
      <c r="E71" s="62" t="s">
        <v>1150</v>
      </c>
      <c r="F71" s="62" t="s">
        <v>1145</v>
      </c>
      <c r="G71" s="48"/>
    </row>
    <row r="72" spans="1:7" ht="16" customHeight="1" x14ac:dyDescent="0.15">
      <c r="A72" s="101">
        <v>42146</v>
      </c>
      <c r="B72" s="62" t="s">
        <v>1096</v>
      </c>
      <c r="C72" s="62" t="s">
        <v>1139</v>
      </c>
      <c r="D72" s="62">
        <v>110</v>
      </c>
      <c r="E72" s="62" t="s">
        <v>1155</v>
      </c>
      <c r="F72" s="62" t="s">
        <v>1156</v>
      </c>
      <c r="G72" s="48"/>
    </row>
    <row r="73" spans="1:7" ht="16" customHeight="1" x14ac:dyDescent="0.15">
      <c r="A73" s="101">
        <v>42148</v>
      </c>
      <c r="B73" s="62" t="s">
        <v>1096</v>
      </c>
      <c r="C73" s="62" t="s">
        <v>1140</v>
      </c>
      <c r="D73" s="62">
        <v>40</v>
      </c>
      <c r="E73" s="62" t="s">
        <v>1151</v>
      </c>
      <c r="F73" s="62" t="s">
        <v>1146</v>
      </c>
      <c r="G73" s="48"/>
    </row>
    <row r="74" spans="1:7" ht="16" customHeight="1" x14ac:dyDescent="0.15">
      <c r="A74" s="101">
        <v>42149</v>
      </c>
      <c r="B74" s="62" t="s">
        <v>1144</v>
      </c>
      <c r="C74" s="62" t="s">
        <v>1147</v>
      </c>
      <c r="D74" s="62">
        <v>165</v>
      </c>
      <c r="E74" s="62" t="s">
        <v>1152</v>
      </c>
      <c r="F74" s="62" t="s">
        <v>1157</v>
      </c>
      <c r="G74" s="48"/>
    </row>
    <row r="75" spans="1:7" ht="16" customHeight="1" x14ac:dyDescent="0.15">
      <c r="A75" s="101">
        <v>42151</v>
      </c>
      <c r="B75" s="62" t="s">
        <v>576</v>
      </c>
      <c r="C75" s="62" t="s">
        <v>1141</v>
      </c>
      <c r="D75" s="62">
        <v>73</v>
      </c>
      <c r="E75" s="62" t="s">
        <v>1153</v>
      </c>
      <c r="F75" s="62" t="s">
        <v>1148</v>
      </c>
      <c r="G75" s="48"/>
    </row>
    <row r="76" spans="1:7" ht="16" customHeight="1" x14ac:dyDescent="0.15">
      <c r="A76" s="101">
        <v>42152</v>
      </c>
      <c r="B76" s="62" t="s">
        <v>608</v>
      </c>
      <c r="C76" s="62" t="s">
        <v>1142</v>
      </c>
      <c r="D76" s="62">
        <v>155</v>
      </c>
      <c r="E76" s="62" t="s">
        <v>1154</v>
      </c>
      <c r="F76" s="62" t="s">
        <v>1149</v>
      </c>
      <c r="G76" s="48"/>
    </row>
    <row r="77" spans="1:7" x14ac:dyDescent="0.15">
      <c r="A77" s="48"/>
      <c r="B77" s="48"/>
      <c r="C77" s="48"/>
      <c r="D77" s="48"/>
      <c r="E77" s="48"/>
      <c r="F77" s="48"/>
      <c r="G77" s="48"/>
    </row>
    <row r="78" spans="1:7" x14ac:dyDescent="0.15">
      <c r="A78" s="48"/>
      <c r="B78" s="48"/>
      <c r="C78" s="48"/>
      <c r="D78" s="48"/>
      <c r="E78" s="48"/>
      <c r="F78" s="48"/>
      <c r="G78" s="48"/>
    </row>
    <row r="79" spans="1:7" x14ac:dyDescent="0.15">
      <c r="A79" s="48"/>
      <c r="B79" s="48"/>
      <c r="C79" s="48"/>
      <c r="D79" s="48"/>
      <c r="E79" s="48"/>
      <c r="F79" s="48"/>
      <c r="G79" s="48"/>
    </row>
    <row r="80" spans="1:7" x14ac:dyDescent="0.15">
      <c r="A80" s="48"/>
      <c r="B80" s="48"/>
      <c r="C80" s="48"/>
      <c r="D80" s="48"/>
      <c r="E80" s="48"/>
      <c r="F80" s="48"/>
      <c r="G80" s="48"/>
    </row>
    <row r="81" spans="1:7" x14ac:dyDescent="0.15">
      <c r="A81" s="48"/>
      <c r="B81" s="48"/>
      <c r="C81" s="48"/>
      <c r="D81" s="48"/>
      <c r="E81" s="48"/>
      <c r="F81" s="48"/>
      <c r="G81" s="48"/>
    </row>
    <row r="82" spans="1:7" x14ac:dyDescent="0.15">
      <c r="A82" s="48"/>
      <c r="B82" s="48"/>
      <c r="C82" s="48"/>
      <c r="D82" s="48"/>
      <c r="E82" s="48"/>
      <c r="F82" s="48"/>
      <c r="G82" s="48"/>
    </row>
    <row r="83" spans="1:7" x14ac:dyDescent="0.15">
      <c r="A83" s="48"/>
      <c r="B83" s="48"/>
      <c r="C83" s="48"/>
      <c r="D83" s="48"/>
      <c r="E83" s="48"/>
      <c r="F83" s="48"/>
      <c r="G83" s="48"/>
    </row>
    <row r="84" spans="1:7" x14ac:dyDescent="0.15">
      <c r="A84" s="48"/>
      <c r="B84" s="48"/>
      <c r="C84" s="48"/>
      <c r="D84" s="48"/>
      <c r="E84" s="48"/>
      <c r="F84" s="48"/>
      <c r="G84" s="48"/>
    </row>
    <row r="85" spans="1:7" x14ac:dyDescent="0.15">
      <c r="A85" s="48"/>
      <c r="B85" s="48"/>
      <c r="C85" s="48"/>
      <c r="D85" s="48"/>
      <c r="E85" s="48"/>
      <c r="F85" s="48"/>
      <c r="G85" s="48"/>
    </row>
    <row r="86" spans="1:7" x14ac:dyDescent="0.15">
      <c r="A86" s="48"/>
      <c r="B86" s="48"/>
      <c r="C86" s="48"/>
      <c r="D86" s="48"/>
      <c r="E86" s="48"/>
      <c r="F86" s="48"/>
      <c r="G86" s="48"/>
    </row>
    <row r="87" spans="1:7" x14ac:dyDescent="0.15">
      <c r="A87" s="48"/>
      <c r="B87" s="48"/>
      <c r="C87" s="48"/>
      <c r="D87" s="48"/>
      <c r="E87" s="48"/>
      <c r="F87" s="48"/>
      <c r="G87" s="48"/>
    </row>
    <row r="88" spans="1:7" x14ac:dyDescent="0.15">
      <c r="A88" s="48"/>
      <c r="B88" s="48"/>
      <c r="C88" s="48"/>
      <c r="D88" s="48"/>
      <c r="E88" s="48"/>
      <c r="F88" s="48"/>
      <c r="G88" s="48"/>
    </row>
    <row r="89" spans="1:7" x14ac:dyDescent="0.15">
      <c r="A89" s="48"/>
      <c r="B89" s="48"/>
      <c r="C89" s="48"/>
      <c r="D89" s="48"/>
      <c r="E89" s="48"/>
      <c r="F89" s="48"/>
      <c r="G89" s="48"/>
    </row>
    <row r="90" spans="1:7" x14ac:dyDescent="0.15">
      <c r="A90" s="48"/>
      <c r="B90" s="48"/>
      <c r="C90" s="48"/>
      <c r="D90" s="48"/>
      <c r="E90" s="48"/>
      <c r="F90" s="48"/>
      <c r="G90" s="48"/>
    </row>
    <row r="91" spans="1:7" x14ac:dyDescent="0.15">
      <c r="A91" s="48"/>
      <c r="B91" s="48"/>
      <c r="C91" s="48"/>
      <c r="D91" s="48"/>
      <c r="E91" s="48"/>
      <c r="F91" s="48"/>
      <c r="G91" s="48"/>
    </row>
    <row r="92" spans="1:7" x14ac:dyDescent="0.15">
      <c r="A92" s="48"/>
      <c r="B92" s="48"/>
      <c r="C92" s="48"/>
      <c r="D92" s="48"/>
      <c r="E92" s="48"/>
      <c r="F92" s="48"/>
      <c r="G92" s="48"/>
    </row>
    <row r="93" spans="1:7" x14ac:dyDescent="0.15">
      <c r="A93" s="48"/>
      <c r="B93" s="48"/>
      <c r="C93" s="48"/>
      <c r="D93" s="48"/>
      <c r="E93" s="48"/>
      <c r="F93" s="48"/>
      <c r="G93" s="48"/>
    </row>
    <row r="94" spans="1:7" x14ac:dyDescent="0.15">
      <c r="A94" s="48"/>
      <c r="B94" s="48"/>
      <c r="C94" s="48"/>
      <c r="D94" s="48"/>
      <c r="E94" s="48"/>
      <c r="F94" s="48"/>
      <c r="G94" s="48"/>
    </row>
    <row r="95" spans="1:7" x14ac:dyDescent="0.15">
      <c r="A95" s="48"/>
      <c r="B95" s="48"/>
      <c r="C95" s="48"/>
      <c r="D95" s="48"/>
      <c r="E95" s="48"/>
      <c r="F95" s="48"/>
      <c r="G95" s="48"/>
    </row>
    <row r="96" spans="1:7" x14ac:dyDescent="0.15">
      <c r="A96" s="48"/>
      <c r="B96" s="48"/>
      <c r="C96" s="48"/>
      <c r="D96" s="48"/>
      <c r="E96" s="48"/>
      <c r="F96" s="48"/>
      <c r="G96" s="48"/>
    </row>
    <row r="97" spans="1:7" x14ac:dyDescent="0.15">
      <c r="A97" s="48"/>
      <c r="B97" s="48"/>
      <c r="C97" s="48"/>
      <c r="D97" s="48"/>
      <c r="E97" s="48"/>
      <c r="F97" s="48"/>
      <c r="G97" s="48"/>
    </row>
    <row r="98" spans="1:7" x14ac:dyDescent="0.15">
      <c r="A98" s="48"/>
      <c r="B98" s="48"/>
      <c r="C98" s="48"/>
      <c r="D98" s="48"/>
      <c r="E98" s="48"/>
      <c r="F98" s="48"/>
      <c r="G98" s="48"/>
    </row>
    <row r="99" spans="1:7" x14ac:dyDescent="0.15">
      <c r="A99" s="48"/>
      <c r="B99" s="48"/>
      <c r="C99" s="48"/>
      <c r="D99" s="48"/>
      <c r="E99" s="48"/>
      <c r="F99" s="48"/>
      <c r="G99" s="48"/>
    </row>
    <row r="100" spans="1:7" x14ac:dyDescent="0.15">
      <c r="A100" s="48"/>
      <c r="B100" s="48"/>
      <c r="C100" s="48"/>
      <c r="D100" s="48"/>
      <c r="E100" s="48"/>
      <c r="F100" s="48"/>
      <c r="G100" s="48"/>
    </row>
    <row r="101" spans="1:7" x14ac:dyDescent="0.15">
      <c r="A101" s="48"/>
      <c r="B101" s="48"/>
      <c r="C101" s="48"/>
      <c r="D101" s="48"/>
      <c r="E101" s="48"/>
      <c r="F101" s="48"/>
      <c r="G101" s="48"/>
    </row>
  </sheetData>
  <pageMargins left="0.75" right="0.75" top="1" bottom="1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IV105"/>
  <sheetViews>
    <sheetView topLeftCell="A37" zoomScale="125" zoomScaleNormal="125" workbookViewId="0">
      <selection activeCell="D47" sqref="D47"/>
    </sheetView>
  </sheetViews>
  <sheetFormatPr baseColWidth="10" defaultRowHeight="13" x14ac:dyDescent="0.15"/>
  <cols>
    <col min="1" max="2" width="14.5" customWidth="1"/>
    <col min="3" max="3" width="18.33203125" customWidth="1"/>
    <col min="4" max="4" width="14.5" customWidth="1"/>
    <col min="5" max="5" width="27.6640625" customWidth="1"/>
    <col min="6" max="6" width="14.5" customWidth="1"/>
    <col min="7" max="7" width="36" customWidth="1"/>
  </cols>
  <sheetData>
    <row r="1" spans="1:7" ht="14" x14ac:dyDescent="0.15">
      <c r="A1" s="77" t="s">
        <v>680</v>
      </c>
      <c r="B1" s="78" t="s">
        <v>681</v>
      </c>
      <c r="C1" s="79" t="s">
        <v>229</v>
      </c>
      <c r="D1" s="80" t="s">
        <v>230</v>
      </c>
      <c r="E1" s="82" t="s">
        <v>152</v>
      </c>
      <c r="F1" s="79" t="s">
        <v>86</v>
      </c>
      <c r="G1" s="81" t="s">
        <v>802</v>
      </c>
    </row>
    <row r="2" spans="1:7" ht="16" customHeight="1" x14ac:dyDescent="0.15">
      <c r="A2" s="70" t="s">
        <v>997</v>
      </c>
      <c r="B2" s="74">
        <v>0.45833333333333331</v>
      </c>
      <c r="C2" s="70" t="s">
        <v>679</v>
      </c>
      <c r="D2" s="72" t="s">
        <v>1045</v>
      </c>
      <c r="E2" s="83" t="s">
        <v>1001</v>
      </c>
      <c r="F2" s="70" t="s">
        <v>87</v>
      </c>
      <c r="G2" s="68"/>
    </row>
    <row r="3" spans="1:7" ht="16" customHeight="1" x14ac:dyDescent="0.15">
      <c r="A3" s="84" t="s">
        <v>999</v>
      </c>
      <c r="B3" s="85" t="s">
        <v>619</v>
      </c>
      <c r="C3" s="84" t="s">
        <v>1000</v>
      </c>
      <c r="D3" s="86"/>
      <c r="E3" s="83"/>
      <c r="F3" s="84" t="s">
        <v>88</v>
      </c>
      <c r="G3" s="68"/>
    </row>
    <row r="4" spans="1:7" ht="16" customHeight="1" x14ac:dyDescent="0.15">
      <c r="A4" s="61" t="s">
        <v>998</v>
      </c>
      <c r="B4" s="61" t="s">
        <v>574</v>
      </c>
      <c r="C4" s="61" t="s">
        <v>250</v>
      </c>
      <c r="D4" s="73">
        <v>156</v>
      </c>
      <c r="E4" s="61"/>
      <c r="F4" s="61" t="s">
        <v>87</v>
      </c>
      <c r="G4" s="48"/>
    </row>
    <row r="5" spans="1:7" ht="16" customHeight="1" x14ac:dyDescent="0.15">
      <c r="A5" s="87" t="s">
        <v>1040</v>
      </c>
      <c r="B5" s="87" t="s">
        <v>1041</v>
      </c>
      <c r="C5" s="87" t="s">
        <v>1042</v>
      </c>
      <c r="D5" s="88">
        <v>214</v>
      </c>
      <c r="E5" s="87"/>
      <c r="F5" s="61" t="s">
        <v>87</v>
      </c>
      <c r="G5" s="48"/>
    </row>
    <row r="6" spans="1:7" ht="16" customHeight="1" x14ac:dyDescent="0.15">
      <c r="A6" s="62" t="s">
        <v>1002</v>
      </c>
      <c r="B6" s="62" t="s">
        <v>576</v>
      </c>
      <c r="C6" s="62" t="s">
        <v>1003</v>
      </c>
      <c r="D6" s="62">
        <v>129</v>
      </c>
      <c r="E6" s="62"/>
      <c r="F6" s="62" t="s">
        <v>87</v>
      </c>
      <c r="G6" s="48"/>
    </row>
    <row r="7" spans="1:7" ht="16" customHeight="1" x14ac:dyDescent="0.15">
      <c r="A7" s="62" t="s">
        <v>1004</v>
      </c>
      <c r="B7" s="62" t="s">
        <v>574</v>
      </c>
      <c r="C7" s="62" t="s">
        <v>1005</v>
      </c>
      <c r="D7" s="62">
        <v>208</v>
      </c>
      <c r="E7" s="62"/>
      <c r="F7" s="62" t="s">
        <v>87</v>
      </c>
      <c r="G7" s="48"/>
    </row>
    <row r="8" spans="1:7" ht="16" customHeight="1" x14ac:dyDescent="0.15">
      <c r="A8" s="62" t="s">
        <v>1006</v>
      </c>
      <c r="B8" s="62" t="s">
        <v>576</v>
      </c>
      <c r="C8" s="62" t="s">
        <v>1007</v>
      </c>
      <c r="D8" s="62">
        <v>302</v>
      </c>
      <c r="E8" s="62"/>
      <c r="F8" s="62" t="s">
        <v>87</v>
      </c>
      <c r="G8" s="48"/>
    </row>
    <row r="9" spans="1:7" ht="16" customHeight="1" x14ac:dyDescent="0.15">
      <c r="A9" s="62" t="s">
        <v>1008</v>
      </c>
      <c r="B9" s="62" t="s">
        <v>576</v>
      </c>
      <c r="C9" s="62" t="s">
        <v>1009</v>
      </c>
      <c r="D9" s="62">
        <v>129</v>
      </c>
      <c r="E9" s="62"/>
      <c r="F9" s="62" t="s">
        <v>87</v>
      </c>
      <c r="G9" s="48"/>
    </row>
    <row r="10" spans="1:7" ht="16" customHeight="1" x14ac:dyDescent="0.15">
      <c r="A10" s="62" t="s">
        <v>1043</v>
      </c>
      <c r="B10" s="62" t="s">
        <v>650</v>
      </c>
      <c r="C10" s="62" t="s">
        <v>1044</v>
      </c>
      <c r="D10" s="62">
        <v>83</v>
      </c>
      <c r="E10" s="62"/>
      <c r="F10" s="62" t="s">
        <v>87</v>
      </c>
      <c r="G10" s="48"/>
    </row>
    <row r="11" spans="1:7" ht="16" customHeight="1" x14ac:dyDescent="0.15">
      <c r="A11" s="62" t="s">
        <v>1010</v>
      </c>
      <c r="B11" s="62" t="s">
        <v>576</v>
      </c>
      <c r="C11" s="62" t="s">
        <v>520</v>
      </c>
      <c r="D11" s="62">
        <v>285</v>
      </c>
      <c r="E11" s="62"/>
      <c r="F11" s="62" t="s">
        <v>87</v>
      </c>
      <c r="G11" s="48"/>
    </row>
    <row r="12" spans="1:7" ht="16" customHeight="1" x14ac:dyDescent="0.15">
      <c r="A12" s="62" t="s">
        <v>1011</v>
      </c>
      <c r="B12" s="62" t="s">
        <v>916</v>
      </c>
      <c r="C12" s="62" t="s">
        <v>1012</v>
      </c>
      <c r="D12" s="62">
        <v>184</v>
      </c>
      <c r="E12" s="62"/>
      <c r="F12" s="62" t="s">
        <v>87</v>
      </c>
      <c r="G12" s="48"/>
    </row>
    <row r="13" spans="1:7" ht="16" customHeight="1" x14ac:dyDescent="0.15">
      <c r="A13" s="62" t="s">
        <v>1013</v>
      </c>
      <c r="B13" s="62" t="s">
        <v>574</v>
      </c>
      <c r="C13" s="62" t="s">
        <v>520</v>
      </c>
      <c r="D13" s="62">
        <v>275</v>
      </c>
      <c r="E13" s="62"/>
      <c r="F13" s="62" t="s">
        <v>87</v>
      </c>
      <c r="G13" s="48"/>
    </row>
    <row r="14" spans="1:7" ht="16" customHeight="1" x14ac:dyDescent="0.15">
      <c r="A14" s="62" t="s">
        <v>1014</v>
      </c>
      <c r="B14" s="62" t="s">
        <v>594</v>
      </c>
      <c r="C14" s="62" t="s">
        <v>56</v>
      </c>
      <c r="D14" s="62">
        <v>28</v>
      </c>
      <c r="E14" s="62" t="s">
        <v>1046</v>
      </c>
      <c r="F14" s="62" t="s">
        <v>88</v>
      </c>
      <c r="G14" s="48"/>
    </row>
    <row r="15" spans="1:7" ht="16" customHeight="1" x14ac:dyDescent="0.15">
      <c r="A15" s="62" t="s">
        <v>1015</v>
      </c>
      <c r="B15" s="62" t="s">
        <v>574</v>
      </c>
      <c r="C15" s="62" t="s">
        <v>1016</v>
      </c>
      <c r="D15" s="62">
        <v>132</v>
      </c>
      <c r="E15" s="62"/>
      <c r="F15" s="62" t="s">
        <v>87</v>
      </c>
      <c r="G15" s="48"/>
    </row>
    <row r="16" spans="1:7" ht="16" customHeight="1" x14ac:dyDescent="0.15">
      <c r="A16" s="62" t="s">
        <v>1017</v>
      </c>
      <c r="B16" s="62" t="s">
        <v>594</v>
      </c>
      <c r="C16" s="62" t="s">
        <v>56</v>
      </c>
      <c r="D16" s="62">
        <v>35</v>
      </c>
      <c r="E16" s="62"/>
      <c r="F16" s="62" t="s">
        <v>88</v>
      </c>
      <c r="G16" s="48"/>
    </row>
    <row r="17" spans="1:7" ht="16" customHeight="1" x14ac:dyDescent="0.15">
      <c r="A17" s="62" t="s">
        <v>1049</v>
      </c>
      <c r="B17" s="62" t="s">
        <v>638</v>
      </c>
      <c r="C17" s="62" t="s">
        <v>1051</v>
      </c>
      <c r="D17" s="62">
        <v>119</v>
      </c>
      <c r="E17" s="62" t="s">
        <v>1050</v>
      </c>
      <c r="F17" s="62" t="s">
        <v>88</v>
      </c>
      <c r="G17" s="48"/>
    </row>
    <row r="18" spans="1:7" ht="16" customHeight="1" x14ac:dyDescent="0.15">
      <c r="A18" s="62" t="s">
        <v>1021</v>
      </c>
      <c r="B18" s="62" t="s">
        <v>1018</v>
      </c>
      <c r="C18" s="62" t="s">
        <v>1019</v>
      </c>
      <c r="D18" s="89" t="s">
        <v>1048</v>
      </c>
      <c r="E18" s="62"/>
      <c r="F18" s="62" t="s">
        <v>1020</v>
      </c>
      <c r="G18" s="48"/>
    </row>
    <row r="19" spans="1:7" ht="16" customHeight="1" x14ac:dyDescent="0.15">
      <c r="A19" s="62" t="s">
        <v>1022</v>
      </c>
      <c r="B19" s="62" t="s">
        <v>920</v>
      </c>
      <c r="C19" s="62" t="s">
        <v>1023</v>
      </c>
      <c r="D19" s="89">
        <v>37</v>
      </c>
      <c r="E19" s="62"/>
      <c r="F19" s="62" t="s">
        <v>88</v>
      </c>
      <c r="G19" s="48"/>
    </row>
    <row r="20" spans="1:7" ht="16" customHeight="1" x14ac:dyDescent="0.15">
      <c r="A20" s="62" t="s">
        <v>1024</v>
      </c>
      <c r="B20" s="65" t="s">
        <v>619</v>
      </c>
      <c r="C20" s="62" t="s">
        <v>56</v>
      </c>
      <c r="D20" s="62">
        <v>54</v>
      </c>
      <c r="E20" s="62"/>
      <c r="F20" s="62" t="s">
        <v>88</v>
      </c>
      <c r="G20" s="48"/>
    </row>
    <row r="21" spans="1:7" ht="16" customHeight="1" x14ac:dyDescent="0.15">
      <c r="A21" s="62" t="s">
        <v>1024</v>
      </c>
      <c r="B21" s="62" t="s">
        <v>576</v>
      </c>
      <c r="C21" s="62" t="s">
        <v>382</v>
      </c>
      <c r="D21" s="62">
        <v>125</v>
      </c>
      <c r="E21" s="62"/>
      <c r="F21" s="62" t="s">
        <v>87</v>
      </c>
      <c r="G21" s="48"/>
    </row>
    <row r="22" spans="1:7" ht="16" customHeight="1" x14ac:dyDescent="0.15">
      <c r="A22" s="62" t="s">
        <v>1025</v>
      </c>
      <c r="B22" s="62" t="s">
        <v>576</v>
      </c>
      <c r="C22" s="62" t="s">
        <v>1026</v>
      </c>
      <c r="D22" s="76" t="s">
        <v>1047</v>
      </c>
      <c r="E22" s="62"/>
      <c r="F22" s="62" t="s">
        <v>87</v>
      </c>
      <c r="G22" s="48"/>
    </row>
    <row r="23" spans="1:7" ht="16" customHeight="1" x14ac:dyDescent="0.15">
      <c r="A23" s="62" t="s">
        <v>1027</v>
      </c>
      <c r="B23" s="62" t="s">
        <v>574</v>
      </c>
      <c r="C23" s="62" t="s">
        <v>382</v>
      </c>
      <c r="D23" s="62">
        <v>135</v>
      </c>
      <c r="E23" s="62"/>
      <c r="F23" s="62" t="s">
        <v>87</v>
      </c>
      <c r="G23" s="48"/>
    </row>
    <row r="24" spans="1:7" ht="16" customHeight="1" x14ac:dyDescent="0.15">
      <c r="A24" s="62" t="s">
        <v>1028</v>
      </c>
      <c r="B24" s="62" t="s">
        <v>576</v>
      </c>
      <c r="C24" s="62" t="s">
        <v>520</v>
      </c>
      <c r="D24" s="62">
        <v>256</v>
      </c>
      <c r="E24" s="62"/>
      <c r="F24" s="62" t="s">
        <v>87</v>
      </c>
      <c r="G24" s="48"/>
    </row>
    <row r="25" spans="1:7" ht="16" customHeight="1" x14ac:dyDescent="0.15">
      <c r="A25" s="62" t="s">
        <v>1029</v>
      </c>
      <c r="B25" s="62" t="s">
        <v>576</v>
      </c>
      <c r="C25" s="62" t="s">
        <v>1030</v>
      </c>
      <c r="D25" s="62">
        <v>236</v>
      </c>
      <c r="E25" s="62"/>
      <c r="F25" s="62" t="s">
        <v>87</v>
      </c>
      <c r="G25" s="48"/>
    </row>
    <row r="26" spans="1:7" ht="16" customHeight="1" x14ac:dyDescent="0.15">
      <c r="A26" s="62" t="s">
        <v>1031</v>
      </c>
      <c r="B26" s="62" t="s">
        <v>574</v>
      </c>
      <c r="C26" s="62" t="s">
        <v>520</v>
      </c>
      <c r="D26" s="62">
        <v>333</v>
      </c>
      <c r="E26" s="62"/>
      <c r="F26" s="62" t="s">
        <v>87</v>
      </c>
      <c r="G26" s="48"/>
    </row>
    <row r="27" spans="1:7" ht="16" customHeight="1" x14ac:dyDescent="0.15">
      <c r="A27" s="62" t="s">
        <v>1032</v>
      </c>
      <c r="B27" s="62" t="s">
        <v>638</v>
      </c>
      <c r="C27" s="62" t="s">
        <v>413</v>
      </c>
      <c r="D27" s="90" t="s">
        <v>1052</v>
      </c>
      <c r="E27" s="62"/>
      <c r="F27" s="62" t="s">
        <v>88</v>
      </c>
      <c r="G27" s="48"/>
    </row>
    <row r="28" spans="1:7" ht="16" customHeight="1" x14ac:dyDescent="0.15">
      <c r="A28" s="62" t="s">
        <v>1033</v>
      </c>
      <c r="B28" s="62" t="s">
        <v>576</v>
      </c>
      <c r="C28" s="62" t="s">
        <v>935</v>
      </c>
      <c r="D28" s="76">
        <v>134</v>
      </c>
      <c r="E28" s="62"/>
      <c r="F28" s="62" t="s">
        <v>88</v>
      </c>
      <c r="G28" s="48"/>
    </row>
    <row r="29" spans="1:7" ht="16" customHeight="1" x14ac:dyDescent="0.15">
      <c r="A29" s="62" t="s">
        <v>1034</v>
      </c>
      <c r="B29" s="62" t="s">
        <v>608</v>
      </c>
      <c r="C29" s="62" t="s">
        <v>56</v>
      </c>
      <c r="D29" s="76">
        <v>46</v>
      </c>
      <c r="E29" s="62"/>
      <c r="F29" s="62" t="s">
        <v>88</v>
      </c>
      <c r="G29" s="48"/>
    </row>
    <row r="30" spans="1:7" ht="16" customHeight="1" x14ac:dyDescent="0.15">
      <c r="A30" s="62" t="s">
        <v>1035</v>
      </c>
      <c r="B30" s="62" t="s">
        <v>576</v>
      </c>
      <c r="C30" s="62" t="s">
        <v>392</v>
      </c>
      <c r="D30" s="76" t="s">
        <v>1053</v>
      </c>
      <c r="E30" s="62"/>
      <c r="F30" s="62" t="s">
        <v>87</v>
      </c>
      <c r="G30" s="48"/>
    </row>
    <row r="31" spans="1:7" ht="16" customHeight="1" x14ac:dyDescent="0.15">
      <c r="A31" s="62" t="s">
        <v>1036</v>
      </c>
      <c r="B31" s="62" t="s">
        <v>574</v>
      </c>
      <c r="C31" s="62" t="s">
        <v>392</v>
      </c>
      <c r="D31" s="62">
        <v>327</v>
      </c>
      <c r="E31" s="62"/>
      <c r="F31" s="62" t="s">
        <v>87</v>
      </c>
      <c r="G31" s="48"/>
    </row>
    <row r="32" spans="1:7" ht="16" customHeight="1" x14ac:dyDescent="0.15">
      <c r="A32" s="62" t="s">
        <v>1037</v>
      </c>
      <c r="B32" s="62" t="s">
        <v>576</v>
      </c>
      <c r="C32" s="62" t="s">
        <v>484</v>
      </c>
      <c r="D32" s="62">
        <v>184</v>
      </c>
      <c r="E32" s="62"/>
      <c r="F32" s="62" t="s">
        <v>87</v>
      </c>
      <c r="G32" s="48"/>
    </row>
    <row r="33" spans="1:256" ht="16" customHeight="1" x14ac:dyDescent="0.15">
      <c r="A33" s="62" t="s">
        <v>1038</v>
      </c>
      <c r="B33" s="62" t="s">
        <v>608</v>
      </c>
      <c r="C33" s="62" t="s">
        <v>56</v>
      </c>
      <c r="D33" s="62">
        <v>56</v>
      </c>
      <c r="E33" s="62"/>
      <c r="F33" s="62" t="s">
        <v>88</v>
      </c>
      <c r="G33" s="48"/>
    </row>
    <row r="34" spans="1:256" ht="16" customHeight="1" x14ac:dyDescent="0.15">
      <c r="A34" s="62" t="s">
        <v>1039</v>
      </c>
      <c r="B34" s="62" t="s">
        <v>608</v>
      </c>
      <c r="C34" s="75" t="s">
        <v>56</v>
      </c>
      <c r="D34" s="62">
        <v>66</v>
      </c>
      <c r="E34" s="62"/>
      <c r="F34" s="62" t="s">
        <v>88</v>
      </c>
      <c r="G34" s="48"/>
    </row>
    <row r="35" spans="1:256" x14ac:dyDescent="0.15">
      <c r="A35" s="63"/>
      <c r="B35" s="63"/>
      <c r="C35" s="63"/>
      <c r="D35" s="63"/>
      <c r="E35" s="63"/>
      <c r="F35" s="63"/>
      <c r="G35" s="48"/>
    </row>
    <row r="36" spans="1:256" x14ac:dyDescent="0.15">
      <c r="A36" s="48"/>
      <c r="B36" s="48"/>
      <c r="C36" s="48"/>
      <c r="D36" s="48"/>
      <c r="E36" s="48"/>
      <c r="F36" s="48"/>
      <c r="G36" s="48"/>
    </row>
    <row r="37" spans="1:256" x14ac:dyDescent="0.15">
      <c r="A37" s="62" t="s">
        <v>1054</v>
      </c>
      <c r="B37" s="62" t="s">
        <v>576</v>
      </c>
      <c r="C37" s="62" t="s">
        <v>1055</v>
      </c>
      <c r="D37" s="62" t="s">
        <v>1056</v>
      </c>
      <c r="E37" s="62"/>
      <c r="F37" s="62" t="s">
        <v>942</v>
      </c>
      <c r="G37" s="48"/>
    </row>
    <row r="38" spans="1:256" ht="16" customHeight="1" x14ac:dyDescent="0.15">
      <c r="A38" s="62" t="s">
        <v>1057</v>
      </c>
      <c r="B38" s="62" t="s">
        <v>576</v>
      </c>
      <c r="C38" s="62" t="s">
        <v>937</v>
      </c>
      <c r="D38" s="62">
        <v>82</v>
      </c>
      <c r="E38" s="62"/>
      <c r="F38" s="62" t="s">
        <v>88</v>
      </c>
      <c r="G38" s="48"/>
    </row>
    <row r="39" spans="1:256" ht="16" customHeight="1" x14ac:dyDescent="0.15">
      <c r="A39" s="62" t="s">
        <v>1058</v>
      </c>
      <c r="B39" s="62" t="s">
        <v>574</v>
      </c>
      <c r="C39" s="62" t="s">
        <v>938</v>
      </c>
      <c r="D39" s="62">
        <v>29</v>
      </c>
      <c r="E39" s="62"/>
      <c r="F39" s="62" t="s">
        <v>88</v>
      </c>
      <c r="G39" s="48"/>
    </row>
    <row r="40" spans="1:256" ht="16" customHeight="1" x14ac:dyDescent="0.15">
      <c r="A40" s="62" t="s">
        <v>1058</v>
      </c>
      <c r="B40" s="62" t="s">
        <v>576</v>
      </c>
      <c r="C40" s="62" t="s">
        <v>939</v>
      </c>
      <c r="D40" s="62">
        <v>98</v>
      </c>
      <c r="E40" s="62"/>
      <c r="F40" s="62" t="s">
        <v>88</v>
      </c>
      <c r="G40" s="48"/>
    </row>
    <row r="41" spans="1:256" ht="16" customHeight="1" x14ac:dyDescent="0.15">
      <c r="A41" s="62" t="s">
        <v>1059</v>
      </c>
      <c r="B41" s="62" t="s">
        <v>1060</v>
      </c>
      <c r="C41" s="62" t="s">
        <v>1061</v>
      </c>
      <c r="D41" s="62">
        <v>22</v>
      </c>
      <c r="E41" s="62"/>
      <c r="F41" s="62" t="s">
        <v>942</v>
      </c>
      <c r="G41" s="48"/>
    </row>
    <row r="42" spans="1:256" ht="16" customHeight="1" x14ac:dyDescent="0.15">
      <c r="A42" s="62" t="s">
        <v>1059</v>
      </c>
      <c r="B42" s="62" t="s">
        <v>576</v>
      </c>
      <c r="C42" s="62" t="s">
        <v>518</v>
      </c>
      <c r="D42" s="62">
        <v>129</v>
      </c>
      <c r="E42" s="62"/>
      <c r="F42" s="62" t="s">
        <v>942</v>
      </c>
      <c r="G42" s="48"/>
    </row>
    <row r="43" spans="1:256" ht="16" customHeight="1" x14ac:dyDescent="0.15">
      <c r="A43" s="62" t="s">
        <v>622</v>
      </c>
      <c r="B43" s="62" t="s">
        <v>574</v>
      </c>
      <c r="C43" s="62" t="s">
        <v>941</v>
      </c>
      <c r="D43" s="62">
        <v>202</v>
      </c>
      <c r="E43" s="62"/>
      <c r="F43" s="62" t="s">
        <v>942</v>
      </c>
      <c r="G43" s="48"/>
    </row>
    <row r="44" spans="1:256" ht="16" customHeight="1" x14ac:dyDescent="0.15">
      <c r="A44" s="62" t="s">
        <v>1062</v>
      </c>
      <c r="B44" s="62" t="s">
        <v>594</v>
      </c>
      <c r="C44" s="62" t="s">
        <v>56</v>
      </c>
      <c r="D44" s="62">
        <v>48</v>
      </c>
      <c r="E44" s="62"/>
      <c r="F44" s="62" t="s">
        <v>88</v>
      </c>
      <c r="G44" s="48"/>
    </row>
    <row r="45" spans="1:256" ht="16" customHeight="1" x14ac:dyDescent="0.15">
      <c r="A45" s="62" t="s">
        <v>1063</v>
      </c>
      <c r="B45" s="62" t="s">
        <v>576</v>
      </c>
      <c r="C45" s="62" t="s">
        <v>1064</v>
      </c>
      <c r="D45" s="62">
        <v>213</v>
      </c>
      <c r="E45" s="62"/>
      <c r="F45" s="92" t="s">
        <v>942</v>
      </c>
      <c r="G45" s="48"/>
    </row>
    <row r="46" spans="1:256" ht="16" customHeight="1" x14ac:dyDescent="0.15">
      <c r="A46" s="62" t="s">
        <v>1065</v>
      </c>
      <c r="B46" s="62" t="s">
        <v>920</v>
      </c>
      <c r="C46" s="62" t="s">
        <v>1066</v>
      </c>
      <c r="D46" s="89" t="s">
        <v>1048</v>
      </c>
      <c r="E46" s="91"/>
      <c r="F46" s="62" t="s">
        <v>1067</v>
      </c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75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  <c r="FK46" s="62"/>
      <c r="FL46" s="62"/>
      <c r="FM46" s="62"/>
      <c r="FN46" s="62"/>
      <c r="FO46" s="62"/>
      <c r="FP46" s="62"/>
      <c r="FQ46" s="62"/>
      <c r="FR46" s="62"/>
      <c r="FS46" s="62"/>
      <c r="FT46" s="62"/>
      <c r="FU46" s="62"/>
      <c r="FV46" s="62"/>
      <c r="FW46" s="62"/>
      <c r="FX46" s="62"/>
      <c r="FY46" s="62"/>
      <c r="FZ46" s="62"/>
      <c r="GA46" s="62"/>
      <c r="GB46" s="62"/>
      <c r="GC46" s="62"/>
      <c r="GD46" s="62"/>
      <c r="GE46" s="62"/>
      <c r="GF46" s="62"/>
      <c r="GG46" s="62"/>
      <c r="GH46" s="62"/>
      <c r="GI46" s="62"/>
      <c r="GJ46" s="62"/>
      <c r="GK46" s="62"/>
      <c r="GL46" s="62"/>
      <c r="GM46" s="62"/>
      <c r="GN46" s="62"/>
      <c r="GO46" s="62"/>
      <c r="GP46" s="62"/>
      <c r="GQ46" s="62"/>
      <c r="GR46" s="62"/>
      <c r="GS46" s="62"/>
      <c r="GT46" s="62"/>
      <c r="GU46" s="62"/>
      <c r="GV46" s="62"/>
      <c r="GW46" s="62"/>
      <c r="GX46" s="62"/>
      <c r="GY46" s="62"/>
      <c r="GZ46" s="62"/>
      <c r="HA46" s="62"/>
      <c r="HB46" s="62"/>
      <c r="HC46" s="62"/>
      <c r="HD46" s="62"/>
      <c r="HE46" s="62"/>
      <c r="HF46" s="62"/>
      <c r="HG46" s="62"/>
      <c r="HH46" s="62"/>
      <c r="HI46" s="62"/>
      <c r="HJ46" s="62"/>
      <c r="HK46" s="62"/>
      <c r="HL46" s="62"/>
      <c r="HM46" s="62"/>
      <c r="HN46" s="62"/>
      <c r="HO46" s="62"/>
      <c r="HP46" s="62"/>
      <c r="HQ46" s="62"/>
      <c r="HR46" s="62"/>
      <c r="HS46" s="62"/>
      <c r="HT46" s="62"/>
      <c r="HU46" s="62"/>
      <c r="HV46" s="62"/>
      <c r="HW46" s="62"/>
      <c r="HX46" s="62"/>
      <c r="HY46" s="62"/>
      <c r="HZ46" s="62"/>
      <c r="IA46" s="62"/>
      <c r="IB46" s="62"/>
      <c r="IC46" s="62"/>
      <c r="ID46" s="62"/>
      <c r="IE46" s="62"/>
      <c r="IF46" s="62"/>
      <c r="IG46" s="62"/>
      <c r="IH46" s="62"/>
      <c r="II46" s="62"/>
      <c r="IJ46" s="62"/>
      <c r="IK46" s="62"/>
      <c r="IL46" s="62"/>
      <c r="IM46" s="62"/>
      <c r="IN46" s="62"/>
      <c r="IO46" s="62"/>
      <c r="IP46" s="62"/>
      <c r="IQ46" s="62"/>
      <c r="IR46" s="62"/>
      <c r="IS46" s="62"/>
      <c r="IT46" s="62"/>
      <c r="IU46" s="62"/>
      <c r="IV46" s="62"/>
    </row>
    <row r="47" spans="1:256" ht="16" customHeight="1" x14ac:dyDescent="0.15">
      <c r="A47" s="62" t="s">
        <v>1068</v>
      </c>
      <c r="B47" s="62" t="s">
        <v>576</v>
      </c>
      <c r="C47" s="62" t="s">
        <v>520</v>
      </c>
      <c r="D47" s="62">
        <v>211</v>
      </c>
      <c r="E47" s="62"/>
      <c r="F47" s="87" t="s">
        <v>942</v>
      </c>
      <c r="G47" s="48"/>
    </row>
    <row r="48" spans="1:256" ht="16" customHeight="1" x14ac:dyDescent="0.15">
      <c r="A48" s="62" t="s">
        <v>1069</v>
      </c>
      <c r="B48" s="62" t="s">
        <v>576</v>
      </c>
      <c r="C48" s="62" t="s">
        <v>1070</v>
      </c>
      <c r="D48" s="76">
        <v>382</v>
      </c>
      <c r="E48" s="62"/>
      <c r="F48" s="87"/>
      <c r="G48" s="48"/>
    </row>
    <row r="49" spans="1:7" ht="16" customHeight="1" x14ac:dyDescent="0.15">
      <c r="A49" s="62" t="s">
        <v>1071</v>
      </c>
      <c r="B49" s="62" t="s">
        <v>574</v>
      </c>
      <c r="C49" s="62" t="s">
        <v>520</v>
      </c>
      <c r="D49" s="62">
        <v>306</v>
      </c>
      <c r="E49" s="62"/>
      <c r="F49" s="62" t="s">
        <v>942</v>
      </c>
      <c r="G49" s="48"/>
    </row>
    <row r="50" spans="1:7" ht="16" customHeight="1" x14ac:dyDescent="0.15">
      <c r="A50" s="62" t="s">
        <v>1073</v>
      </c>
      <c r="B50" s="62" t="s">
        <v>574</v>
      </c>
      <c r="C50" s="62" t="s">
        <v>1074</v>
      </c>
      <c r="D50" s="62">
        <v>171</v>
      </c>
      <c r="E50" s="62"/>
      <c r="F50" s="62" t="s">
        <v>942</v>
      </c>
      <c r="G50" s="48"/>
    </row>
    <row r="51" spans="1:7" ht="16" customHeight="1" x14ac:dyDescent="0.15">
      <c r="A51" s="62" t="s">
        <v>1075</v>
      </c>
      <c r="B51" s="62" t="s">
        <v>638</v>
      </c>
      <c r="C51" s="62" t="s">
        <v>956</v>
      </c>
      <c r="D51" s="62">
        <v>197</v>
      </c>
      <c r="E51" s="62"/>
      <c r="F51" s="62" t="s">
        <v>88</v>
      </c>
      <c r="G51" s="48"/>
    </row>
    <row r="52" spans="1:7" ht="16" customHeight="1" x14ac:dyDescent="0.15">
      <c r="A52" s="62" t="s">
        <v>1072</v>
      </c>
      <c r="B52" s="62" t="s">
        <v>594</v>
      </c>
      <c r="C52" s="62" t="s">
        <v>56</v>
      </c>
      <c r="D52" s="93" t="s">
        <v>717</v>
      </c>
      <c r="E52" s="62"/>
      <c r="F52" s="62" t="s">
        <v>88</v>
      </c>
      <c r="G52" s="48"/>
    </row>
    <row r="53" spans="1:7" ht="16" customHeight="1" x14ac:dyDescent="0.15">
      <c r="A53" s="62" t="s">
        <v>1076</v>
      </c>
      <c r="B53" s="62" t="s">
        <v>576</v>
      </c>
      <c r="C53" s="62" t="s">
        <v>1077</v>
      </c>
      <c r="D53" s="62">
        <v>62</v>
      </c>
      <c r="E53" s="62"/>
      <c r="F53" s="62" t="s">
        <v>88</v>
      </c>
      <c r="G53" s="48"/>
    </row>
    <row r="54" spans="1:7" ht="16" customHeight="1" x14ac:dyDescent="0.15">
      <c r="A54" s="62" t="s">
        <v>1079</v>
      </c>
      <c r="B54" s="62" t="s">
        <v>576</v>
      </c>
      <c r="C54" s="62" t="s">
        <v>1078</v>
      </c>
      <c r="D54" s="93">
        <v>92</v>
      </c>
      <c r="E54" s="62"/>
      <c r="F54" s="62" t="s">
        <v>88</v>
      </c>
      <c r="G54" s="48"/>
    </row>
    <row r="55" spans="1:7" ht="16" customHeight="1" x14ac:dyDescent="0.15">
      <c r="A55" s="62" t="s">
        <v>973</v>
      </c>
      <c r="B55" s="62" t="s">
        <v>594</v>
      </c>
      <c r="C55" s="62" t="s">
        <v>56</v>
      </c>
      <c r="D55" s="62">
        <v>59</v>
      </c>
      <c r="E55" s="62"/>
      <c r="F55" s="62" t="s">
        <v>88</v>
      </c>
      <c r="G55" s="48"/>
    </row>
    <row r="56" spans="1:7" ht="16" customHeight="1" x14ac:dyDescent="0.15">
      <c r="A56" s="62" t="s">
        <v>1080</v>
      </c>
      <c r="B56" s="62" t="s">
        <v>576</v>
      </c>
      <c r="C56" s="62" t="s">
        <v>1083</v>
      </c>
      <c r="D56" s="62">
        <v>74</v>
      </c>
      <c r="E56" s="62"/>
      <c r="F56" s="62" t="s">
        <v>88</v>
      </c>
      <c r="G56" s="48"/>
    </row>
    <row r="57" spans="1:7" ht="16" customHeight="1" x14ac:dyDescent="0.15">
      <c r="A57" s="62" t="s">
        <v>1081</v>
      </c>
      <c r="B57" s="62" t="s">
        <v>576</v>
      </c>
      <c r="C57" s="62" t="s">
        <v>1084</v>
      </c>
      <c r="D57" s="93">
        <v>120</v>
      </c>
      <c r="E57" s="62"/>
      <c r="F57" s="62" t="s">
        <v>88</v>
      </c>
      <c r="G57" s="48"/>
    </row>
    <row r="58" spans="1:7" ht="16" customHeight="1" x14ac:dyDescent="0.15">
      <c r="A58" s="62" t="s">
        <v>1085</v>
      </c>
      <c r="B58" s="62" t="s">
        <v>594</v>
      </c>
      <c r="C58" s="62" t="s">
        <v>56</v>
      </c>
      <c r="D58" s="62">
        <v>60</v>
      </c>
      <c r="E58" s="62"/>
      <c r="F58" s="62" t="s">
        <v>88</v>
      </c>
      <c r="G58" s="48"/>
    </row>
    <row r="59" spans="1:7" ht="16" customHeight="1" x14ac:dyDescent="0.15">
      <c r="A59" s="62" t="s">
        <v>451</v>
      </c>
      <c r="B59" s="62" t="s">
        <v>576</v>
      </c>
      <c r="C59" s="62" t="s">
        <v>1086</v>
      </c>
      <c r="D59" s="62">
        <v>88</v>
      </c>
      <c r="E59" s="62"/>
      <c r="F59" s="62" t="s">
        <v>88</v>
      </c>
      <c r="G59" s="48"/>
    </row>
    <row r="60" spans="1:7" ht="16" customHeight="1" x14ac:dyDescent="0.15">
      <c r="A60" s="62" t="s">
        <v>457</v>
      </c>
      <c r="B60" s="62" t="s">
        <v>574</v>
      </c>
      <c r="C60" s="62" t="s">
        <v>370</v>
      </c>
      <c r="D60" s="62">
        <v>163</v>
      </c>
      <c r="E60" s="62"/>
      <c r="F60" s="62" t="s">
        <v>88</v>
      </c>
      <c r="G60" s="48"/>
    </row>
    <row r="61" spans="1:7" ht="16" customHeight="1" x14ac:dyDescent="0.15">
      <c r="A61" s="62" t="s">
        <v>459</v>
      </c>
      <c r="B61" s="62" t="s">
        <v>576</v>
      </c>
      <c r="C61" s="62" t="s">
        <v>963</v>
      </c>
      <c r="D61" s="62">
        <v>355</v>
      </c>
      <c r="E61" s="62"/>
      <c r="F61" s="62" t="s">
        <v>942</v>
      </c>
      <c r="G61" s="48"/>
    </row>
    <row r="62" spans="1:7" ht="16" customHeight="1" x14ac:dyDescent="0.15">
      <c r="A62" s="62" t="s">
        <v>1082</v>
      </c>
      <c r="B62" s="62" t="s">
        <v>574</v>
      </c>
      <c r="C62" s="62" t="s">
        <v>963</v>
      </c>
      <c r="D62" s="62">
        <v>476</v>
      </c>
      <c r="E62" s="62"/>
      <c r="F62" s="62" t="s">
        <v>942</v>
      </c>
      <c r="G62" s="48"/>
    </row>
    <row r="63" spans="1:7" ht="16" customHeight="1" x14ac:dyDescent="0.15">
      <c r="A63" s="62" t="s">
        <v>1087</v>
      </c>
      <c r="B63" s="62" t="s">
        <v>576</v>
      </c>
      <c r="C63" s="62" t="s">
        <v>56</v>
      </c>
      <c r="D63" s="62">
        <v>31</v>
      </c>
      <c r="E63" s="62"/>
      <c r="F63" s="62" t="s">
        <v>88</v>
      </c>
      <c r="G63" s="48"/>
    </row>
    <row r="64" spans="1:7" ht="16" customHeight="1" x14ac:dyDescent="0.15">
      <c r="A64" s="62" t="s">
        <v>1088</v>
      </c>
      <c r="B64" s="62" t="s">
        <v>576</v>
      </c>
      <c r="C64" s="62" t="s">
        <v>1089</v>
      </c>
      <c r="D64" s="62">
        <v>88</v>
      </c>
      <c r="E64" s="62"/>
      <c r="F64" s="62" t="s">
        <v>88</v>
      </c>
      <c r="G64" s="48"/>
    </row>
    <row r="65" spans="1:7" ht="16" customHeight="1" x14ac:dyDescent="0.15">
      <c r="A65" s="62" t="s">
        <v>1090</v>
      </c>
      <c r="B65" s="62" t="s">
        <v>594</v>
      </c>
      <c r="C65" s="62" t="s">
        <v>532</v>
      </c>
      <c r="D65" s="62">
        <v>118</v>
      </c>
      <c r="E65" s="62"/>
      <c r="F65" s="62" t="s">
        <v>88</v>
      </c>
      <c r="G65" s="48"/>
    </row>
    <row r="66" spans="1:7" ht="16" customHeight="1" x14ac:dyDescent="0.15">
      <c r="A66" s="62" t="s">
        <v>478</v>
      </c>
      <c r="B66" s="62" t="s">
        <v>576</v>
      </c>
      <c r="C66" s="62" t="s">
        <v>967</v>
      </c>
      <c r="D66" s="62">
        <v>191</v>
      </c>
      <c r="E66" s="62"/>
      <c r="F66" s="62" t="s">
        <v>942</v>
      </c>
      <c r="G66" s="48"/>
    </row>
    <row r="67" spans="1:7" ht="16" customHeight="1" x14ac:dyDescent="0.15">
      <c r="A67" s="62" t="s">
        <v>487</v>
      </c>
      <c r="B67" s="62" t="s">
        <v>576</v>
      </c>
      <c r="C67" s="62" t="s">
        <v>968</v>
      </c>
      <c r="D67" s="62">
        <v>309</v>
      </c>
      <c r="E67" s="62" t="s">
        <v>227</v>
      </c>
      <c r="F67" s="62" t="s">
        <v>942</v>
      </c>
      <c r="G67" s="48"/>
    </row>
    <row r="68" spans="1:7" ht="16" customHeight="1" x14ac:dyDescent="0.15">
      <c r="A68" s="62" t="s">
        <v>480</v>
      </c>
      <c r="B68" s="62" t="s">
        <v>778</v>
      </c>
      <c r="C68" s="62" t="s">
        <v>382</v>
      </c>
      <c r="D68" s="62">
        <v>197</v>
      </c>
      <c r="E68" s="62" t="s">
        <v>227</v>
      </c>
      <c r="F68" s="62" t="s">
        <v>942</v>
      </c>
      <c r="G68" s="48"/>
    </row>
    <row r="69" spans="1:7" ht="16" customHeight="1" x14ac:dyDescent="0.15">
      <c r="A69" s="62" t="s">
        <v>480</v>
      </c>
      <c r="B69" s="62" t="s">
        <v>671</v>
      </c>
      <c r="C69" s="62" t="s">
        <v>967</v>
      </c>
      <c r="D69" s="62">
        <v>392</v>
      </c>
      <c r="E69" s="62" t="s">
        <v>227</v>
      </c>
      <c r="F69" s="62" t="s">
        <v>942</v>
      </c>
      <c r="G69" s="48"/>
    </row>
    <row r="70" spans="1:7" ht="16" customHeight="1" x14ac:dyDescent="0.15">
      <c r="A70" s="62" t="s">
        <v>481</v>
      </c>
      <c r="B70" s="62" t="s">
        <v>576</v>
      </c>
      <c r="C70" s="62" t="s">
        <v>382</v>
      </c>
      <c r="D70" s="62">
        <v>102</v>
      </c>
      <c r="E70" s="62"/>
      <c r="F70" s="62" t="s">
        <v>942</v>
      </c>
      <c r="G70" s="48"/>
    </row>
    <row r="71" spans="1:7" ht="16" customHeight="1" x14ac:dyDescent="0.15">
      <c r="A71" s="62" t="s">
        <v>483</v>
      </c>
      <c r="B71" s="62" t="s">
        <v>576</v>
      </c>
      <c r="C71" s="62" t="s">
        <v>484</v>
      </c>
      <c r="D71" s="76">
        <v>103</v>
      </c>
      <c r="E71" s="62"/>
      <c r="F71" s="62" t="s">
        <v>942</v>
      </c>
      <c r="G71" s="48"/>
    </row>
    <row r="72" spans="1:7" ht="16" customHeight="1" x14ac:dyDescent="0.15">
      <c r="A72" s="62" t="s">
        <v>489</v>
      </c>
      <c r="B72" s="62" t="s">
        <v>608</v>
      </c>
      <c r="C72" s="62" t="s">
        <v>56</v>
      </c>
      <c r="D72" s="62">
        <v>59</v>
      </c>
      <c r="E72" s="62"/>
      <c r="F72" s="62" t="s">
        <v>88</v>
      </c>
      <c r="G72" s="48"/>
    </row>
    <row r="73" spans="1:7" ht="16" customHeight="1" x14ac:dyDescent="0.15">
      <c r="A73" s="62" t="s">
        <v>490</v>
      </c>
      <c r="B73" s="62" t="s">
        <v>608</v>
      </c>
      <c r="C73" s="62" t="s">
        <v>56</v>
      </c>
      <c r="D73" s="62">
        <v>51</v>
      </c>
      <c r="E73" s="62"/>
      <c r="F73" s="62" t="s">
        <v>88</v>
      </c>
      <c r="G73" s="48"/>
    </row>
    <row r="74" spans="1:7" ht="16" customHeight="1" x14ac:dyDescent="0.15">
      <c r="A74" s="62" t="s">
        <v>1095</v>
      </c>
      <c r="B74" s="62" t="s">
        <v>1096</v>
      </c>
      <c r="C74" s="62" t="s">
        <v>876</v>
      </c>
      <c r="D74" s="62">
        <v>45</v>
      </c>
      <c r="E74" s="62" t="s">
        <v>1091</v>
      </c>
      <c r="F74" s="62" t="s">
        <v>1092</v>
      </c>
      <c r="G74" s="48"/>
    </row>
    <row r="75" spans="1:7" ht="16" customHeight="1" x14ac:dyDescent="0.15">
      <c r="A75" s="62" t="s">
        <v>1093</v>
      </c>
      <c r="B75" s="62" t="s">
        <v>608</v>
      </c>
      <c r="C75" s="62" t="s">
        <v>876</v>
      </c>
      <c r="D75" s="62">
        <v>75</v>
      </c>
      <c r="E75" s="62" t="s">
        <v>1094</v>
      </c>
      <c r="F75" s="62" t="s">
        <v>1100</v>
      </c>
      <c r="G75" s="48"/>
    </row>
    <row r="76" spans="1:7" ht="16" customHeight="1" x14ac:dyDescent="0.15">
      <c r="A76" s="62" t="s">
        <v>1097</v>
      </c>
      <c r="B76" s="62" t="s">
        <v>576</v>
      </c>
      <c r="C76" s="62" t="s">
        <v>876</v>
      </c>
      <c r="D76" s="62">
        <v>85</v>
      </c>
      <c r="E76" s="62" t="s">
        <v>1098</v>
      </c>
      <c r="F76" s="62" t="s">
        <v>1099</v>
      </c>
      <c r="G76" s="48"/>
    </row>
    <row r="77" spans="1:7" ht="16" customHeight="1" x14ac:dyDescent="0.15">
      <c r="A77" s="62" t="s">
        <v>1101</v>
      </c>
      <c r="B77" s="62" t="s">
        <v>650</v>
      </c>
      <c r="C77" s="62" t="s">
        <v>876</v>
      </c>
      <c r="D77" s="62" t="s">
        <v>535</v>
      </c>
      <c r="E77" s="62" t="s">
        <v>1103</v>
      </c>
      <c r="F77" s="62" t="s">
        <v>1102</v>
      </c>
      <c r="G77" s="48"/>
    </row>
    <row r="78" spans="1:7" x14ac:dyDescent="0.15">
      <c r="A78" s="48"/>
      <c r="B78" s="48"/>
      <c r="C78" s="48"/>
      <c r="D78" s="48"/>
      <c r="E78" s="48"/>
      <c r="F78" s="48"/>
      <c r="G78" s="48"/>
    </row>
    <row r="79" spans="1:7" x14ac:dyDescent="0.15">
      <c r="A79" s="48"/>
      <c r="B79" s="48"/>
      <c r="C79" s="48"/>
      <c r="D79" s="48"/>
      <c r="E79" s="48"/>
      <c r="F79" s="48"/>
      <c r="G79" s="48"/>
    </row>
    <row r="80" spans="1:7" x14ac:dyDescent="0.15">
      <c r="A80" s="48"/>
      <c r="B80" s="48"/>
      <c r="C80" s="48"/>
      <c r="D80" s="48"/>
      <c r="E80" s="48"/>
      <c r="F80" s="48"/>
      <c r="G80" s="48"/>
    </row>
    <row r="81" spans="1:7" x14ac:dyDescent="0.15">
      <c r="A81" s="48"/>
      <c r="B81" s="48"/>
      <c r="C81" s="48"/>
      <c r="D81" s="48"/>
      <c r="E81" s="48"/>
      <c r="F81" s="48"/>
      <c r="G81" s="48"/>
    </row>
    <row r="82" spans="1:7" x14ac:dyDescent="0.15">
      <c r="A82" s="48"/>
      <c r="B82" s="48"/>
      <c r="C82" s="48"/>
      <c r="D82" s="48"/>
      <c r="E82" s="48"/>
      <c r="F82" s="48"/>
      <c r="G82" s="48"/>
    </row>
    <row r="83" spans="1:7" x14ac:dyDescent="0.15">
      <c r="A83" s="48"/>
      <c r="B83" s="48"/>
      <c r="C83" s="48"/>
      <c r="D83" s="48"/>
      <c r="E83" s="48"/>
      <c r="F83" s="48"/>
      <c r="G83" s="48"/>
    </row>
    <row r="84" spans="1:7" x14ac:dyDescent="0.15">
      <c r="A84" s="48"/>
      <c r="B84" s="48"/>
      <c r="C84" s="48"/>
      <c r="D84" s="48"/>
      <c r="E84" s="48"/>
      <c r="F84" s="48"/>
      <c r="G84" s="48"/>
    </row>
    <row r="85" spans="1:7" x14ac:dyDescent="0.15">
      <c r="A85" s="48"/>
      <c r="B85" s="48"/>
      <c r="C85" s="48"/>
      <c r="D85" s="48"/>
      <c r="E85" s="48"/>
      <c r="F85" s="48"/>
      <c r="G85" s="48"/>
    </row>
    <row r="86" spans="1:7" x14ac:dyDescent="0.15">
      <c r="A86" s="48"/>
      <c r="B86" s="48"/>
      <c r="C86" s="48"/>
      <c r="D86" s="48"/>
      <c r="E86" s="48"/>
      <c r="F86" s="48"/>
      <c r="G86" s="48"/>
    </row>
    <row r="87" spans="1:7" x14ac:dyDescent="0.15">
      <c r="A87" s="48"/>
      <c r="B87" s="48"/>
      <c r="C87" s="48"/>
      <c r="D87" s="48"/>
      <c r="E87" s="48"/>
      <c r="F87" s="48"/>
      <c r="G87" s="48"/>
    </row>
    <row r="88" spans="1:7" x14ac:dyDescent="0.15">
      <c r="A88" s="48"/>
      <c r="B88" s="48"/>
      <c r="C88" s="48"/>
      <c r="D88" s="48"/>
      <c r="E88" s="48"/>
      <c r="F88" s="48"/>
      <c r="G88" s="48"/>
    </row>
    <row r="89" spans="1:7" x14ac:dyDescent="0.15">
      <c r="A89" s="48"/>
      <c r="B89" s="48"/>
      <c r="C89" s="48"/>
      <c r="D89" s="48"/>
      <c r="E89" s="48"/>
      <c r="F89" s="48"/>
      <c r="G89" s="48"/>
    </row>
    <row r="90" spans="1:7" x14ac:dyDescent="0.15">
      <c r="A90" s="48"/>
      <c r="B90" s="48"/>
      <c r="C90" s="48"/>
      <c r="D90" s="48"/>
      <c r="E90" s="48"/>
      <c r="F90" s="48"/>
      <c r="G90" s="48"/>
    </row>
    <row r="91" spans="1:7" x14ac:dyDescent="0.15">
      <c r="A91" s="48"/>
      <c r="B91" s="48"/>
      <c r="C91" s="48"/>
      <c r="D91" s="48"/>
      <c r="E91" s="48"/>
      <c r="F91" s="48"/>
      <c r="G91" s="48"/>
    </row>
    <row r="92" spans="1:7" x14ac:dyDescent="0.15">
      <c r="A92" s="48"/>
      <c r="B92" s="48"/>
      <c r="C92" s="48"/>
      <c r="D92" s="48"/>
      <c r="E92" s="48"/>
      <c r="F92" s="48"/>
      <c r="G92" s="48"/>
    </row>
    <row r="93" spans="1:7" x14ac:dyDescent="0.15">
      <c r="A93" s="48"/>
      <c r="B93" s="48"/>
      <c r="C93" s="48"/>
      <c r="D93" s="48"/>
      <c r="E93" s="48"/>
      <c r="F93" s="48"/>
      <c r="G93" s="48"/>
    </row>
    <row r="94" spans="1:7" x14ac:dyDescent="0.15">
      <c r="A94" s="48"/>
      <c r="B94" s="48"/>
      <c r="C94" s="48"/>
      <c r="D94" s="48"/>
      <c r="E94" s="48"/>
      <c r="F94" s="48"/>
      <c r="G94" s="48"/>
    </row>
    <row r="95" spans="1:7" x14ac:dyDescent="0.15">
      <c r="A95" s="48"/>
      <c r="B95" s="48"/>
      <c r="C95" s="48"/>
      <c r="D95" s="48"/>
      <c r="E95" s="48"/>
      <c r="F95" s="48"/>
      <c r="G95" s="48"/>
    </row>
    <row r="96" spans="1:7" x14ac:dyDescent="0.15">
      <c r="A96" s="48"/>
      <c r="B96" s="48"/>
      <c r="C96" s="48"/>
      <c r="D96" s="48"/>
      <c r="E96" s="48"/>
      <c r="F96" s="48"/>
      <c r="G96" s="48"/>
    </row>
    <row r="97" spans="1:7" x14ac:dyDescent="0.15">
      <c r="A97" s="48"/>
      <c r="B97" s="48"/>
      <c r="C97" s="48"/>
      <c r="D97" s="48"/>
      <c r="E97" s="48"/>
      <c r="F97" s="48"/>
      <c r="G97" s="48"/>
    </row>
    <row r="98" spans="1:7" x14ac:dyDescent="0.15">
      <c r="A98" s="48"/>
      <c r="B98" s="48"/>
      <c r="C98" s="48"/>
      <c r="D98" s="48"/>
      <c r="E98" s="48"/>
      <c r="F98" s="48"/>
      <c r="G98" s="48"/>
    </row>
    <row r="99" spans="1:7" x14ac:dyDescent="0.15">
      <c r="A99" s="48"/>
      <c r="B99" s="48"/>
      <c r="C99" s="48"/>
      <c r="D99" s="48"/>
      <c r="E99" s="48"/>
      <c r="F99" s="48"/>
      <c r="G99" s="48"/>
    </row>
    <row r="100" spans="1:7" x14ac:dyDescent="0.15">
      <c r="A100" s="48"/>
      <c r="B100" s="48"/>
      <c r="C100" s="48"/>
      <c r="D100" s="48"/>
      <c r="E100" s="48"/>
      <c r="F100" s="48"/>
      <c r="G100" s="48"/>
    </row>
    <row r="101" spans="1:7" x14ac:dyDescent="0.15">
      <c r="A101" s="48"/>
      <c r="B101" s="48"/>
      <c r="C101" s="48"/>
      <c r="D101" s="48"/>
      <c r="E101" s="48"/>
      <c r="F101" s="48"/>
      <c r="G101" s="48"/>
    </row>
    <row r="102" spans="1:7" x14ac:dyDescent="0.15">
      <c r="A102" s="48"/>
      <c r="B102" s="48"/>
      <c r="C102" s="48"/>
      <c r="D102" s="48"/>
      <c r="E102" s="48"/>
      <c r="F102" s="48"/>
      <c r="G102" s="48"/>
    </row>
    <row r="103" spans="1:7" x14ac:dyDescent="0.15">
      <c r="A103" s="48"/>
      <c r="B103" s="48"/>
      <c r="C103" s="48"/>
      <c r="D103" s="48"/>
      <c r="E103" s="48"/>
      <c r="F103" s="48"/>
      <c r="G103" s="48"/>
    </row>
    <row r="104" spans="1:7" x14ac:dyDescent="0.15">
      <c r="A104" s="48"/>
      <c r="B104" s="48"/>
      <c r="C104" s="48"/>
      <c r="D104" s="48"/>
      <c r="E104" s="48"/>
      <c r="F104" s="48"/>
      <c r="G104" s="48"/>
    </row>
    <row r="105" spans="1:7" x14ac:dyDescent="0.15">
      <c r="A105" s="48"/>
      <c r="B105" s="48"/>
      <c r="C105" s="48"/>
      <c r="D105" s="48"/>
      <c r="E105" s="48"/>
      <c r="F105" s="48"/>
      <c r="G105" s="48"/>
    </row>
  </sheetData>
  <pageMargins left="0.75" right="0.75" top="1" bottom="1" header="0.3" footer="0.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G98"/>
  <sheetViews>
    <sheetView topLeftCell="A53" zoomScale="113" zoomScaleNormal="113" workbookViewId="0">
      <selection activeCell="C61" sqref="C61"/>
    </sheetView>
  </sheetViews>
  <sheetFormatPr baseColWidth="10" defaultRowHeight="13" x14ac:dyDescent="0.15"/>
  <cols>
    <col min="3" max="3" width="16.1640625" customWidth="1"/>
    <col min="4" max="4" width="12" customWidth="1"/>
    <col min="5" max="5" width="20.33203125" customWidth="1"/>
    <col min="6" max="6" width="23" customWidth="1"/>
  </cols>
  <sheetData>
    <row r="1" spans="1:7" s="48" customFormat="1" ht="18" customHeight="1" x14ac:dyDescent="0.15">
      <c r="A1" s="57" t="s">
        <v>680</v>
      </c>
      <c r="B1" s="58" t="s">
        <v>681</v>
      </c>
      <c r="C1" s="59" t="s">
        <v>229</v>
      </c>
      <c r="D1" s="60" t="s">
        <v>230</v>
      </c>
      <c r="E1" s="59" t="s">
        <v>152</v>
      </c>
      <c r="F1" s="59" t="s">
        <v>86</v>
      </c>
      <c r="G1" s="48" t="s">
        <v>802</v>
      </c>
    </row>
    <row r="2" spans="1:7" s="68" customFormat="1" ht="18" customHeight="1" x14ac:dyDescent="0.15">
      <c r="A2" s="69" t="s">
        <v>903</v>
      </c>
      <c r="B2" s="69" t="s">
        <v>902</v>
      </c>
      <c r="C2" s="69" t="s">
        <v>900</v>
      </c>
      <c r="D2" s="71">
        <v>630</v>
      </c>
      <c r="E2" s="69"/>
      <c r="F2" s="69" t="s">
        <v>87</v>
      </c>
    </row>
    <row r="3" spans="1:7" s="68" customFormat="1" ht="18" customHeight="1" x14ac:dyDescent="0.15">
      <c r="A3" s="70" t="s">
        <v>904</v>
      </c>
      <c r="B3" s="74">
        <v>0.45833333333333331</v>
      </c>
      <c r="C3" s="70" t="s">
        <v>679</v>
      </c>
      <c r="D3" s="72">
        <v>664</v>
      </c>
      <c r="E3" s="69" t="s">
        <v>901</v>
      </c>
      <c r="F3" s="70" t="s">
        <v>87</v>
      </c>
    </row>
    <row r="4" spans="1:7" s="48" customFormat="1" ht="18" customHeight="1" x14ac:dyDescent="0.15">
      <c r="A4" s="61" t="s">
        <v>898</v>
      </c>
      <c r="B4" s="61" t="s">
        <v>574</v>
      </c>
      <c r="C4" s="61" t="s">
        <v>250</v>
      </c>
      <c r="D4" s="73">
        <v>179</v>
      </c>
      <c r="E4" s="61"/>
      <c r="F4" s="61" t="s">
        <v>87</v>
      </c>
      <c r="G4" s="48" t="s">
        <v>899</v>
      </c>
    </row>
    <row r="5" spans="1:7" s="48" customFormat="1" ht="18" customHeight="1" x14ac:dyDescent="0.15">
      <c r="A5" s="62" t="s">
        <v>905</v>
      </c>
      <c r="B5" s="62" t="s">
        <v>576</v>
      </c>
      <c r="C5" s="62" t="s">
        <v>906</v>
      </c>
      <c r="D5" s="62">
        <v>289</v>
      </c>
      <c r="E5" s="62"/>
      <c r="F5" s="62" t="s">
        <v>87</v>
      </c>
      <c r="G5" s="48" t="s">
        <v>907</v>
      </c>
    </row>
    <row r="6" spans="1:7" s="48" customFormat="1" ht="18" customHeight="1" x14ac:dyDescent="0.15">
      <c r="A6" s="62" t="s">
        <v>353</v>
      </c>
      <c r="B6" s="62" t="s">
        <v>574</v>
      </c>
      <c r="C6" s="62" t="s">
        <v>908</v>
      </c>
      <c r="D6" s="62">
        <v>238</v>
      </c>
      <c r="E6" s="62"/>
      <c r="F6" s="62" t="s">
        <v>87</v>
      </c>
    </row>
    <row r="7" spans="1:7" s="48" customFormat="1" ht="18" customHeight="1" x14ac:dyDescent="0.15">
      <c r="A7" s="62" t="s">
        <v>357</v>
      </c>
      <c r="B7" s="62" t="s">
        <v>909</v>
      </c>
      <c r="C7" s="62" t="s">
        <v>910</v>
      </c>
      <c r="D7" s="62" t="s">
        <v>911</v>
      </c>
      <c r="E7" s="62" t="s">
        <v>912</v>
      </c>
      <c r="F7" s="62" t="s">
        <v>87</v>
      </c>
    </row>
    <row r="8" spans="1:7" s="48" customFormat="1" ht="18" customHeight="1" x14ac:dyDescent="0.15">
      <c r="A8" s="62" t="s">
        <v>357</v>
      </c>
      <c r="B8" s="62" t="s">
        <v>576</v>
      </c>
      <c r="C8" s="62" t="s">
        <v>310</v>
      </c>
      <c r="D8" s="62">
        <v>242</v>
      </c>
      <c r="E8" s="62"/>
      <c r="F8" s="62" t="s">
        <v>87</v>
      </c>
      <c r="G8" s="48" t="s">
        <v>913</v>
      </c>
    </row>
    <row r="9" spans="1:7" s="48" customFormat="1" ht="18" customHeight="1" x14ac:dyDescent="0.15">
      <c r="A9" s="62" t="s">
        <v>914</v>
      </c>
      <c r="B9" s="62" t="s">
        <v>576</v>
      </c>
      <c r="C9" s="62" t="s">
        <v>520</v>
      </c>
      <c r="D9" s="62">
        <v>262</v>
      </c>
      <c r="E9" s="62" t="s">
        <v>915</v>
      </c>
      <c r="F9" s="62" t="s">
        <v>87</v>
      </c>
    </row>
    <row r="10" spans="1:7" s="48" customFormat="1" ht="18" customHeight="1" x14ac:dyDescent="0.15">
      <c r="A10" s="62" t="s">
        <v>363</v>
      </c>
      <c r="B10" s="62" t="s">
        <v>916</v>
      </c>
      <c r="C10" s="62" t="s">
        <v>917</v>
      </c>
      <c r="D10" s="62">
        <v>513</v>
      </c>
      <c r="E10" s="62" t="s">
        <v>915</v>
      </c>
      <c r="F10" s="62" t="s">
        <v>87</v>
      </c>
    </row>
    <row r="11" spans="1:7" s="48" customFormat="1" ht="18" customHeight="1" x14ac:dyDescent="0.15">
      <c r="A11" s="62" t="s">
        <v>364</v>
      </c>
      <c r="B11" s="62" t="s">
        <v>574</v>
      </c>
      <c r="C11" s="62" t="s">
        <v>520</v>
      </c>
      <c r="D11" s="62">
        <v>340</v>
      </c>
      <c r="E11" s="62" t="s">
        <v>915</v>
      </c>
      <c r="F11" s="62" t="s">
        <v>87</v>
      </c>
    </row>
    <row r="12" spans="1:7" s="48" customFormat="1" ht="18" customHeight="1" x14ac:dyDescent="0.15">
      <c r="A12" s="62" t="s">
        <v>919</v>
      </c>
      <c r="B12" s="62" t="s">
        <v>920</v>
      </c>
      <c r="C12" s="62" t="s">
        <v>921</v>
      </c>
      <c r="D12" s="62">
        <v>59</v>
      </c>
      <c r="E12" s="62"/>
      <c r="F12" s="62" t="s">
        <v>88</v>
      </c>
    </row>
    <row r="13" spans="1:7" s="48" customFormat="1" ht="18" customHeight="1" x14ac:dyDescent="0.15">
      <c r="A13" s="62" t="s">
        <v>923</v>
      </c>
      <c r="B13" s="62" t="s">
        <v>576</v>
      </c>
      <c r="C13" s="62" t="s">
        <v>922</v>
      </c>
      <c r="D13" s="62">
        <v>226</v>
      </c>
      <c r="E13" s="62"/>
      <c r="F13" s="62" t="s">
        <v>87</v>
      </c>
    </row>
    <row r="14" spans="1:7" s="48" customFormat="1" ht="18" customHeight="1" x14ac:dyDescent="0.15">
      <c r="A14" s="62" t="s">
        <v>924</v>
      </c>
      <c r="B14" s="62" t="s">
        <v>594</v>
      </c>
      <c r="C14" s="62" t="s">
        <v>56</v>
      </c>
      <c r="D14" s="62">
        <v>58</v>
      </c>
      <c r="E14" s="62"/>
      <c r="F14" s="62" t="s">
        <v>88</v>
      </c>
    </row>
    <row r="15" spans="1:7" s="48" customFormat="1" ht="18" customHeight="1" x14ac:dyDescent="0.15">
      <c r="A15" s="62" t="s">
        <v>925</v>
      </c>
      <c r="B15" s="62" t="s">
        <v>576</v>
      </c>
      <c r="C15" s="62" t="s">
        <v>926</v>
      </c>
      <c r="D15" s="62">
        <v>67</v>
      </c>
      <c r="E15" s="62"/>
      <c r="F15" s="62" t="s">
        <v>87</v>
      </c>
    </row>
    <row r="16" spans="1:7" s="48" customFormat="1" ht="18" customHeight="1" x14ac:dyDescent="0.15">
      <c r="A16" s="62" t="s">
        <v>927</v>
      </c>
      <c r="B16" s="62" t="s">
        <v>574</v>
      </c>
      <c r="C16" s="62" t="s">
        <v>860</v>
      </c>
      <c r="D16" s="62">
        <v>224</v>
      </c>
      <c r="E16" s="62"/>
      <c r="F16" s="62" t="s">
        <v>87</v>
      </c>
    </row>
    <row r="17" spans="1:6" s="48" customFormat="1" ht="18" customHeight="1" x14ac:dyDescent="0.15">
      <c r="A17" s="62" t="s">
        <v>369</v>
      </c>
      <c r="B17" s="62" t="s">
        <v>576</v>
      </c>
      <c r="C17" s="62" t="s">
        <v>928</v>
      </c>
      <c r="D17" s="62">
        <v>338</v>
      </c>
      <c r="E17" s="62" t="s">
        <v>930</v>
      </c>
      <c r="F17" s="62" t="s">
        <v>87</v>
      </c>
    </row>
    <row r="18" spans="1:6" s="48" customFormat="1" ht="18" customHeight="1" x14ac:dyDescent="0.15">
      <c r="A18" s="62" t="s">
        <v>371</v>
      </c>
      <c r="B18" s="62" t="s">
        <v>574</v>
      </c>
      <c r="C18" s="62" t="s">
        <v>929</v>
      </c>
      <c r="D18" s="62">
        <v>113</v>
      </c>
      <c r="E18" s="62"/>
      <c r="F18" s="62" t="s">
        <v>87</v>
      </c>
    </row>
    <row r="19" spans="1:6" s="48" customFormat="1" ht="18" customHeight="1" x14ac:dyDescent="0.15">
      <c r="A19" s="62" t="s">
        <v>931</v>
      </c>
      <c r="B19" s="65" t="s">
        <v>619</v>
      </c>
      <c r="C19" s="62" t="s">
        <v>56</v>
      </c>
      <c r="D19" s="62">
        <v>42</v>
      </c>
      <c r="E19" s="62"/>
      <c r="F19" s="62" t="s">
        <v>88</v>
      </c>
    </row>
    <row r="20" spans="1:6" s="48" customFormat="1" ht="18" customHeight="1" x14ac:dyDescent="0.15">
      <c r="A20" s="62" t="s">
        <v>931</v>
      </c>
      <c r="B20" s="62" t="s">
        <v>576</v>
      </c>
      <c r="C20" s="62" t="s">
        <v>382</v>
      </c>
      <c r="D20" s="62">
        <v>163</v>
      </c>
      <c r="E20" s="62"/>
      <c r="F20" s="62" t="s">
        <v>87</v>
      </c>
    </row>
    <row r="21" spans="1:6" s="48" customFormat="1" ht="18" customHeight="1" x14ac:dyDescent="0.15">
      <c r="A21" s="62" t="s">
        <v>376</v>
      </c>
      <c r="B21" s="62" t="s">
        <v>574</v>
      </c>
      <c r="C21" s="62" t="s">
        <v>382</v>
      </c>
      <c r="D21" s="62">
        <v>170</v>
      </c>
      <c r="E21" s="62"/>
      <c r="F21" s="62" t="s">
        <v>87</v>
      </c>
    </row>
    <row r="22" spans="1:6" s="48" customFormat="1" ht="18" customHeight="1" x14ac:dyDescent="0.15">
      <c r="A22" s="62" t="s">
        <v>381</v>
      </c>
      <c r="B22" s="62" t="s">
        <v>576</v>
      </c>
      <c r="C22" s="62" t="s">
        <v>520</v>
      </c>
      <c r="D22" s="62">
        <v>282</v>
      </c>
      <c r="E22" s="62"/>
      <c r="F22" s="62" t="s">
        <v>87</v>
      </c>
    </row>
    <row r="23" spans="1:6" s="48" customFormat="1" ht="18" customHeight="1" x14ac:dyDescent="0.15">
      <c r="A23" s="62" t="s">
        <v>383</v>
      </c>
      <c r="B23" s="62" t="s">
        <v>574</v>
      </c>
      <c r="C23" s="62" t="s">
        <v>520</v>
      </c>
      <c r="D23" s="62">
        <v>298</v>
      </c>
      <c r="E23" s="62"/>
      <c r="F23" s="62" t="s">
        <v>87</v>
      </c>
    </row>
    <row r="24" spans="1:6" s="48" customFormat="1" ht="18" customHeight="1" x14ac:dyDescent="0.15">
      <c r="A24" s="62" t="s">
        <v>933</v>
      </c>
      <c r="B24" s="62" t="s">
        <v>638</v>
      </c>
      <c r="C24" s="62" t="s">
        <v>413</v>
      </c>
      <c r="D24" s="62">
        <v>256</v>
      </c>
      <c r="E24" s="62"/>
      <c r="F24" s="62" t="s">
        <v>88</v>
      </c>
    </row>
    <row r="25" spans="1:6" s="48" customFormat="1" ht="18" customHeight="1" x14ac:dyDescent="0.15">
      <c r="A25" s="62" t="s">
        <v>934</v>
      </c>
      <c r="B25" s="62" t="s">
        <v>576</v>
      </c>
      <c r="C25" s="62" t="s">
        <v>935</v>
      </c>
      <c r="D25" s="62">
        <v>126</v>
      </c>
      <c r="E25" s="62"/>
      <c r="F25" s="62" t="s">
        <v>88</v>
      </c>
    </row>
    <row r="26" spans="1:6" s="48" customFormat="1" ht="18" customHeight="1" x14ac:dyDescent="0.15">
      <c r="A26" s="62" t="s">
        <v>936</v>
      </c>
      <c r="B26" s="62" t="s">
        <v>576</v>
      </c>
      <c r="C26" s="62" t="s">
        <v>56</v>
      </c>
      <c r="D26" s="62" t="s">
        <v>535</v>
      </c>
      <c r="E26" s="62"/>
      <c r="F26" s="62" t="s">
        <v>88</v>
      </c>
    </row>
    <row r="27" spans="1:6" s="48" customFormat="1" ht="18" customHeight="1" x14ac:dyDescent="0.15">
      <c r="A27" s="62" t="s">
        <v>391</v>
      </c>
      <c r="B27" s="62" t="s">
        <v>576</v>
      </c>
      <c r="C27" s="62" t="s">
        <v>392</v>
      </c>
      <c r="D27" s="62">
        <v>332</v>
      </c>
      <c r="E27" s="62"/>
      <c r="F27" s="62" t="s">
        <v>87</v>
      </c>
    </row>
    <row r="28" spans="1:6" s="48" customFormat="1" ht="18" customHeight="1" x14ac:dyDescent="0.15">
      <c r="A28" s="62" t="s">
        <v>395</v>
      </c>
      <c r="B28" s="62"/>
      <c r="C28" s="62" t="s">
        <v>932</v>
      </c>
      <c r="D28" s="62">
        <v>120</v>
      </c>
      <c r="E28" s="62"/>
      <c r="F28" s="62" t="s">
        <v>87</v>
      </c>
    </row>
    <row r="29" spans="1:6" s="48" customFormat="1" ht="18" customHeight="1" x14ac:dyDescent="0.15">
      <c r="A29" s="62" t="s">
        <v>396</v>
      </c>
      <c r="B29" s="62" t="s">
        <v>574</v>
      </c>
      <c r="C29" s="62" t="s">
        <v>392</v>
      </c>
      <c r="D29" s="62">
        <v>361</v>
      </c>
      <c r="E29" s="62"/>
      <c r="F29" s="62" t="s">
        <v>87</v>
      </c>
    </row>
    <row r="30" spans="1:6" s="48" customFormat="1" ht="18" customHeight="1" x14ac:dyDescent="0.15">
      <c r="A30" s="62" t="s">
        <v>397</v>
      </c>
      <c r="B30" s="62" t="s">
        <v>576</v>
      </c>
      <c r="C30" s="62" t="s">
        <v>484</v>
      </c>
      <c r="D30" s="62">
        <v>244</v>
      </c>
      <c r="E30" s="62"/>
      <c r="F30" s="62" t="s">
        <v>87</v>
      </c>
    </row>
    <row r="31" spans="1:6" s="48" customFormat="1" ht="18" customHeight="1" x14ac:dyDescent="0.15">
      <c r="A31" s="62" t="s">
        <v>402</v>
      </c>
      <c r="B31" s="62" t="s">
        <v>608</v>
      </c>
      <c r="C31" s="62" t="s">
        <v>56</v>
      </c>
      <c r="D31" s="62">
        <v>45</v>
      </c>
      <c r="E31" s="62"/>
      <c r="F31" s="62" t="s">
        <v>88</v>
      </c>
    </row>
    <row r="32" spans="1:6" s="48" customFormat="1" ht="18" customHeight="1" x14ac:dyDescent="0.15">
      <c r="A32" s="62" t="s">
        <v>403</v>
      </c>
      <c r="B32" s="62" t="s">
        <v>608</v>
      </c>
      <c r="C32" s="75" t="s">
        <v>56</v>
      </c>
      <c r="D32" s="62">
        <v>27</v>
      </c>
      <c r="E32" s="62"/>
      <c r="F32" s="62" t="s">
        <v>88</v>
      </c>
    </row>
    <row r="33" spans="1:6" s="48" customFormat="1" ht="18" customHeight="1" x14ac:dyDescent="0.15">
      <c r="A33" s="63"/>
      <c r="B33" s="63"/>
      <c r="C33" s="63"/>
      <c r="D33" s="63"/>
      <c r="E33" s="63"/>
      <c r="F33" s="63"/>
    </row>
    <row r="34" spans="1:6" s="48" customFormat="1" ht="18" customHeight="1" x14ac:dyDescent="0.15">
      <c r="A34" s="62" t="s">
        <v>409</v>
      </c>
      <c r="B34" s="62" t="s">
        <v>576</v>
      </c>
      <c r="C34" s="62" t="s">
        <v>937</v>
      </c>
      <c r="D34" s="62">
        <v>58</v>
      </c>
      <c r="E34" s="62"/>
      <c r="F34" s="62" t="s">
        <v>88</v>
      </c>
    </row>
    <row r="35" spans="1:6" s="48" customFormat="1" ht="18" customHeight="1" x14ac:dyDescent="0.15">
      <c r="A35" s="62" t="s">
        <v>410</v>
      </c>
      <c r="B35" s="62" t="s">
        <v>574</v>
      </c>
      <c r="C35" s="62" t="s">
        <v>938</v>
      </c>
      <c r="D35" s="62">
        <v>13</v>
      </c>
      <c r="E35" s="62"/>
      <c r="F35" s="62" t="s">
        <v>88</v>
      </c>
    </row>
    <row r="36" spans="1:6" s="48" customFormat="1" ht="18" customHeight="1" x14ac:dyDescent="0.15">
      <c r="A36" s="62" t="s">
        <v>410</v>
      </c>
      <c r="B36" s="62" t="s">
        <v>576</v>
      </c>
      <c r="C36" s="62" t="s">
        <v>939</v>
      </c>
      <c r="D36" s="62">
        <v>62</v>
      </c>
      <c r="E36" s="62"/>
      <c r="F36" s="62" t="s">
        <v>88</v>
      </c>
    </row>
    <row r="37" spans="1:6" s="48" customFormat="1" ht="18" customHeight="1" x14ac:dyDescent="0.15">
      <c r="A37" s="62" t="s">
        <v>940</v>
      </c>
      <c r="B37" s="62" t="s">
        <v>574</v>
      </c>
      <c r="C37" s="62" t="s">
        <v>941</v>
      </c>
      <c r="D37" s="62">
        <v>296</v>
      </c>
      <c r="E37" s="62"/>
      <c r="F37" s="62" t="s">
        <v>942</v>
      </c>
    </row>
    <row r="38" spans="1:6" s="48" customFormat="1" ht="18" customHeight="1" x14ac:dyDescent="0.15">
      <c r="A38" s="62" t="s">
        <v>943</v>
      </c>
      <c r="B38" s="62" t="s">
        <v>576</v>
      </c>
      <c r="C38" s="62" t="s">
        <v>944</v>
      </c>
      <c r="D38" s="62">
        <v>141</v>
      </c>
      <c r="E38" s="62"/>
      <c r="F38" s="62" t="s">
        <v>942</v>
      </c>
    </row>
    <row r="39" spans="1:6" s="48" customFormat="1" ht="18" customHeight="1" x14ac:dyDescent="0.15">
      <c r="A39" s="62" t="s">
        <v>945</v>
      </c>
      <c r="B39" s="62" t="s">
        <v>574</v>
      </c>
      <c r="C39" s="62" t="s">
        <v>946</v>
      </c>
      <c r="D39" s="62">
        <v>110</v>
      </c>
      <c r="E39" s="62"/>
      <c r="F39" s="62" t="s">
        <v>942</v>
      </c>
    </row>
    <row r="40" spans="1:6" s="48" customFormat="1" ht="18" customHeight="1" x14ac:dyDescent="0.15">
      <c r="A40" s="62" t="s">
        <v>949</v>
      </c>
      <c r="B40" s="62" t="s">
        <v>594</v>
      </c>
      <c r="C40" s="62" t="s">
        <v>56</v>
      </c>
      <c r="D40" s="62">
        <v>28</v>
      </c>
      <c r="E40" s="62"/>
      <c r="F40" s="62" t="s">
        <v>88</v>
      </c>
    </row>
    <row r="41" spans="1:6" s="48" customFormat="1" ht="18" customHeight="1" x14ac:dyDescent="0.15">
      <c r="A41" s="62" t="s">
        <v>417</v>
      </c>
      <c r="B41" s="62" t="s">
        <v>576</v>
      </c>
      <c r="C41" s="62" t="s">
        <v>947</v>
      </c>
      <c r="D41" s="62">
        <v>239</v>
      </c>
      <c r="E41" s="62"/>
      <c r="F41" s="62" t="s">
        <v>942</v>
      </c>
    </row>
    <row r="42" spans="1:6" s="48" customFormat="1" ht="18" customHeight="1" x14ac:dyDescent="0.15">
      <c r="A42" s="62" t="s">
        <v>948</v>
      </c>
      <c r="B42" s="62" t="s">
        <v>576</v>
      </c>
      <c r="C42" s="62" t="s">
        <v>520</v>
      </c>
      <c r="D42" s="62">
        <v>289</v>
      </c>
      <c r="E42" s="62"/>
      <c r="F42" s="62" t="s">
        <v>942</v>
      </c>
    </row>
    <row r="43" spans="1:6" s="48" customFormat="1" ht="18" customHeight="1" x14ac:dyDescent="0.15">
      <c r="A43" s="62" t="s">
        <v>419</v>
      </c>
      <c r="B43" s="62" t="s">
        <v>574</v>
      </c>
      <c r="C43" s="62" t="s">
        <v>520</v>
      </c>
      <c r="D43" s="76" t="s">
        <v>983</v>
      </c>
      <c r="E43" s="62"/>
      <c r="F43" s="62" t="s">
        <v>942</v>
      </c>
    </row>
    <row r="44" spans="1:6" s="48" customFormat="1" ht="18" customHeight="1" x14ac:dyDescent="0.15">
      <c r="A44" s="62" t="s">
        <v>950</v>
      </c>
      <c r="B44" s="62" t="s">
        <v>594</v>
      </c>
      <c r="C44" s="62" t="s">
        <v>56</v>
      </c>
      <c r="D44" s="62">
        <v>38</v>
      </c>
      <c r="E44" s="62"/>
      <c r="F44" s="62" t="s">
        <v>88</v>
      </c>
    </row>
    <row r="45" spans="1:6" s="48" customFormat="1" ht="18" customHeight="1" x14ac:dyDescent="0.15">
      <c r="A45" s="62" t="s">
        <v>951</v>
      </c>
      <c r="B45" s="62" t="s">
        <v>576</v>
      </c>
      <c r="C45" s="62" t="s">
        <v>952</v>
      </c>
      <c r="D45" s="62">
        <v>132</v>
      </c>
      <c r="E45" s="62"/>
      <c r="F45" s="62" t="s">
        <v>942</v>
      </c>
    </row>
    <row r="46" spans="1:6" s="48" customFormat="1" ht="18" customHeight="1" x14ac:dyDescent="0.15">
      <c r="A46" s="62" t="s">
        <v>953</v>
      </c>
      <c r="B46" s="62" t="s">
        <v>574</v>
      </c>
      <c r="C46" s="62" t="s">
        <v>954</v>
      </c>
      <c r="D46" s="62">
        <v>176</v>
      </c>
      <c r="E46" s="62"/>
      <c r="F46" s="62" t="s">
        <v>942</v>
      </c>
    </row>
    <row r="47" spans="1:6" s="48" customFormat="1" ht="18" customHeight="1" x14ac:dyDescent="0.15">
      <c r="A47" s="62" t="s">
        <v>955</v>
      </c>
      <c r="B47" s="62" t="s">
        <v>638</v>
      </c>
      <c r="C47" s="62" t="s">
        <v>956</v>
      </c>
      <c r="D47" s="62">
        <v>225</v>
      </c>
      <c r="E47" s="62"/>
      <c r="F47" s="62" t="s">
        <v>88</v>
      </c>
    </row>
    <row r="48" spans="1:6" s="48" customFormat="1" ht="18" customHeight="1" x14ac:dyDescent="0.15">
      <c r="A48" s="62" t="s">
        <v>957</v>
      </c>
      <c r="B48" s="62" t="s">
        <v>574</v>
      </c>
      <c r="C48" s="62" t="s">
        <v>370</v>
      </c>
      <c r="D48" s="62">
        <v>296</v>
      </c>
      <c r="E48" s="62"/>
      <c r="F48" s="62" t="s">
        <v>942</v>
      </c>
    </row>
    <row r="49" spans="1:6" s="48" customFormat="1" ht="18" customHeight="1" x14ac:dyDescent="0.15">
      <c r="A49" s="62" t="s">
        <v>973</v>
      </c>
      <c r="B49" s="62" t="s">
        <v>594</v>
      </c>
      <c r="C49" s="62" t="s">
        <v>56</v>
      </c>
      <c r="D49" s="62">
        <v>56</v>
      </c>
      <c r="E49" s="62"/>
      <c r="F49" s="62" t="s">
        <v>88</v>
      </c>
    </row>
    <row r="50" spans="1:6" s="48" customFormat="1" ht="18" customHeight="1" x14ac:dyDescent="0.15">
      <c r="A50" s="62" t="s">
        <v>958</v>
      </c>
      <c r="B50" s="62" t="s">
        <v>574</v>
      </c>
      <c r="C50" s="62" t="s">
        <v>959</v>
      </c>
      <c r="D50" s="62">
        <v>178</v>
      </c>
      <c r="E50" s="62"/>
      <c r="F50" s="62" t="s">
        <v>942</v>
      </c>
    </row>
    <row r="51" spans="1:6" s="48" customFormat="1" ht="18" customHeight="1" x14ac:dyDescent="0.15">
      <c r="A51" s="62" t="s">
        <v>960</v>
      </c>
      <c r="B51" s="62" t="s">
        <v>576</v>
      </c>
      <c r="C51" s="62" t="s">
        <v>961</v>
      </c>
      <c r="D51" s="62">
        <v>115</v>
      </c>
      <c r="E51" s="62"/>
      <c r="F51" s="62" t="s">
        <v>942</v>
      </c>
    </row>
    <row r="52" spans="1:6" s="48" customFormat="1" ht="18" customHeight="1" x14ac:dyDescent="0.15">
      <c r="A52" s="62" t="s">
        <v>974</v>
      </c>
      <c r="B52" s="62" t="s">
        <v>875</v>
      </c>
      <c r="C52" s="62" t="s">
        <v>975</v>
      </c>
      <c r="D52" s="62">
        <v>89</v>
      </c>
      <c r="E52" s="62"/>
      <c r="F52" s="62" t="s">
        <v>88</v>
      </c>
    </row>
    <row r="53" spans="1:6" s="48" customFormat="1" ht="18" customHeight="1" x14ac:dyDescent="0.15">
      <c r="A53" s="62" t="s">
        <v>976</v>
      </c>
      <c r="B53" s="62" t="s">
        <v>576</v>
      </c>
      <c r="C53" s="62" t="s">
        <v>977</v>
      </c>
      <c r="D53" s="62">
        <v>51</v>
      </c>
      <c r="E53" s="62"/>
      <c r="F53" s="62" t="s">
        <v>88</v>
      </c>
    </row>
    <row r="54" spans="1:6" s="48" customFormat="1" ht="18" customHeight="1" x14ac:dyDescent="0.15">
      <c r="A54" s="62" t="s">
        <v>962</v>
      </c>
      <c r="B54" s="62" t="s">
        <v>576</v>
      </c>
      <c r="C54" s="62" t="s">
        <v>963</v>
      </c>
      <c r="D54" s="62">
        <v>501</v>
      </c>
      <c r="E54" s="62"/>
      <c r="F54" s="62" t="s">
        <v>942</v>
      </c>
    </row>
    <row r="55" spans="1:6" s="48" customFormat="1" ht="18" customHeight="1" x14ac:dyDescent="0.15">
      <c r="A55" s="62" t="s">
        <v>964</v>
      </c>
      <c r="B55" s="62" t="s">
        <v>574</v>
      </c>
      <c r="C55" s="62" t="s">
        <v>963</v>
      </c>
      <c r="D55" s="62">
        <v>513</v>
      </c>
      <c r="E55" s="62"/>
      <c r="F55" s="62" t="s">
        <v>942</v>
      </c>
    </row>
    <row r="56" spans="1:6" s="48" customFormat="1" ht="18" customHeight="1" x14ac:dyDescent="0.15">
      <c r="A56" s="62" t="s">
        <v>978</v>
      </c>
      <c r="B56" s="62" t="s">
        <v>594</v>
      </c>
      <c r="C56" s="62" t="s">
        <v>56</v>
      </c>
      <c r="D56" s="62">
        <v>37</v>
      </c>
      <c r="E56" s="62"/>
      <c r="F56" s="62" t="s">
        <v>88</v>
      </c>
    </row>
    <row r="57" spans="1:6" s="48" customFormat="1" ht="18" customHeight="1" x14ac:dyDescent="0.15">
      <c r="A57" s="62" t="s">
        <v>982</v>
      </c>
      <c r="B57" s="62" t="s">
        <v>576</v>
      </c>
      <c r="C57" s="62" t="s">
        <v>981</v>
      </c>
      <c r="D57" s="62">
        <v>64</v>
      </c>
      <c r="E57" s="62"/>
      <c r="F57" s="62" t="s">
        <v>88</v>
      </c>
    </row>
    <row r="58" spans="1:6" s="48" customFormat="1" ht="18" customHeight="1" x14ac:dyDescent="0.15">
      <c r="A58" s="62" t="s">
        <v>965</v>
      </c>
      <c r="B58" s="62" t="s">
        <v>594</v>
      </c>
      <c r="C58" s="62" t="s">
        <v>532</v>
      </c>
      <c r="D58" s="62">
        <v>91</v>
      </c>
      <c r="E58" s="62"/>
      <c r="F58" s="62" t="s">
        <v>88</v>
      </c>
    </row>
    <row r="59" spans="1:6" s="48" customFormat="1" ht="18" customHeight="1" x14ac:dyDescent="0.15">
      <c r="A59" s="62" t="s">
        <v>966</v>
      </c>
      <c r="B59" s="62" t="s">
        <v>576</v>
      </c>
      <c r="C59" s="62" t="s">
        <v>967</v>
      </c>
      <c r="D59" s="62">
        <v>206</v>
      </c>
      <c r="E59" s="62"/>
      <c r="F59" s="62" t="s">
        <v>942</v>
      </c>
    </row>
    <row r="60" spans="1:6" s="48" customFormat="1" ht="18" customHeight="1" x14ac:dyDescent="0.15">
      <c r="A60" s="62" t="s">
        <v>970</v>
      </c>
      <c r="B60" s="62" t="s">
        <v>576</v>
      </c>
      <c r="C60" s="62" t="s">
        <v>968</v>
      </c>
      <c r="D60" s="62">
        <v>355</v>
      </c>
      <c r="E60" s="62" t="s">
        <v>227</v>
      </c>
      <c r="F60" s="62" t="s">
        <v>942</v>
      </c>
    </row>
    <row r="61" spans="1:6" s="48" customFormat="1" ht="18" customHeight="1" x14ac:dyDescent="0.15">
      <c r="A61" s="62" t="s">
        <v>971</v>
      </c>
      <c r="B61" s="62" t="s">
        <v>778</v>
      </c>
      <c r="C61" s="62" t="s">
        <v>382</v>
      </c>
      <c r="D61" s="62">
        <v>203</v>
      </c>
      <c r="E61" s="62" t="s">
        <v>227</v>
      </c>
      <c r="F61" s="62" t="s">
        <v>942</v>
      </c>
    </row>
    <row r="62" spans="1:6" s="48" customFormat="1" ht="18" customHeight="1" x14ac:dyDescent="0.15">
      <c r="A62" s="62" t="s">
        <v>971</v>
      </c>
      <c r="B62" s="62" t="s">
        <v>671</v>
      </c>
      <c r="C62" s="62" t="s">
        <v>967</v>
      </c>
      <c r="D62" s="62">
        <v>410</v>
      </c>
      <c r="E62" s="62" t="s">
        <v>227</v>
      </c>
      <c r="F62" s="62" t="s">
        <v>942</v>
      </c>
    </row>
    <row r="63" spans="1:6" s="48" customFormat="1" ht="18" customHeight="1" x14ac:dyDescent="0.15">
      <c r="A63" s="62" t="s">
        <v>972</v>
      </c>
      <c r="B63" s="62" t="s">
        <v>576</v>
      </c>
      <c r="C63" s="62" t="s">
        <v>382</v>
      </c>
      <c r="D63" s="62">
        <v>143</v>
      </c>
      <c r="E63" s="62"/>
      <c r="F63" s="62" t="s">
        <v>942</v>
      </c>
    </row>
    <row r="64" spans="1:6" s="48" customFormat="1" ht="18" customHeight="1" x14ac:dyDescent="0.15">
      <c r="A64" s="62" t="s">
        <v>969</v>
      </c>
      <c r="B64" s="62" t="s">
        <v>576</v>
      </c>
      <c r="C64" s="62" t="s">
        <v>484</v>
      </c>
      <c r="D64" s="76" t="s">
        <v>996</v>
      </c>
      <c r="E64" s="62"/>
      <c r="F64" s="62" t="s">
        <v>942</v>
      </c>
    </row>
    <row r="65" spans="1:6" s="48" customFormat="1" ht="18" customHeight="1" x14ac:dyDescent="0.15">
      <c r="A65" s="62" t="s">
        <v>979</v>
      </c>
      <c r="B65" s="62" t="s">
        <v>608</v>
      </c>
      <c r="C65" s="62" t="s">
        <v>56</v>
      </c>
      <c r="D65" s="62">
        <v>81</v>
      </c>
      <c r="E65" s="62"/>
      <c r="F65" s="62" t="s">
        <v>88</v>
      </c>
    </row>
    <row r="66" spans="1:6" s="48" customFormat="1" ht="18" customHeight="1" x14ac:dyDescent="0.15">
      <c r="A66" s="62" t="s">
        <v>980</v>
      </c>
      <c r="B66" s="62" t="s">
        <v>608</v>
      </c>
      <c r="C66" s="62" t="s">
        <v>56</v>
      </c>
      <c r="D66" s="62">
        <v>82</v>
      </c>
      <c r="E66" s="62"/>
      <c r="F66" s="62" t="s">
        <v>88</v>
      </c>
    </row>
    <row r="67" spans="1:6" s="48" customFormat="1" ht="18" customHeight="1" x14ac:dyDescent="0.15">
      <c r="A67" s="62" t="s">
        <v>984</v>
      </c>
      <c r="B67" s="62" t="s">
        <v>608</v>
      </c>
      <c r="C67" s="62" t="s">
        <v>876</v>
      </c>
      <c r="D67" s="62">
        <v>176</v>
      </c>
      <c r="E67" s="62" t="s">
        <v>985</v>
      </c>
      <c r="F67" s="62" t="s">
        <v>986</v>
      </c>
    </row>
    <row r="68" spans="1:6" s="48" customFormat="1" ht="18" customHeight="1" x14ac:dyDescent="0.15">
      <c r="A68" s="62" t="s">
        <v>987</v>
      </c>
      <c r="B68" s="62" t="s">
        <v>608</v>
      </c>
      <c r="C68" s="62" t="s">
        <v>876</v>
      </c>
      <c r="D68" s="62">
        <v>55</v>
      </c>
      <c r="E68" s="62" t="s">
        <v>988</v>
      </c>
      <c r="F68" s="62" t="s">
        <v>989</v>
      </c>
    </row>
    <row r="69" spans="1:6" s="48" customFormat="1" ht="18" customHeight="1" x14ac:dyDescent="0.15">
      <c r="A69" s="62" t="s">
        <v>990</v>
      </c>
      <c r="B69" s="62" t="s">
        <v>994</v>
      </c>
      <c r="C69" s="62" t="s">
        <v>876</v>
      </c>
      <c r="D69" s="62">
        <v>156</v>
      </c>
      <c r="E69" s="62" t="s">
        <v>991</v>
      </c>
      <c r="F69" s="62" t="s">
        <v>992</v>
      </c>
    </row>
    <row r="70" spans="1:6" s="48" customFormat="1" ht="18" customHeight="1" x14ac:dyDescent="0.15">
      <c r="A70" s="62" t="s">
        <v>993</v>
      </c>
      <c r="B70" s="62" t="s">
        <v>608</v>
      </c>
      <c r="C70" s="62" t="s">
        <v>876</v>
      </c>
      <c r="D70" s="62">
        <v>150</v>
      </c>
      <c r="E70" s="62" t="s">
        <v>991</v>
      </c>
      <c r="F70" s="62" t="s">
        <v>995</v>
      </c>
    </row>
    <row r="71" spans="1:6" s="48" customFormat="1" ht="18" customHeight="1" x14ac:dyDescent="0.15"/>
    <row r="72" spans="1:6" s="48" customFormat="1" ht="18" customHeight="1" x14ac:dyDescent="0.15"/>
    <row r="73" spans="1:6" s="48" customFormat="1" ht="18" customHeight="1" x14ac:dyDescent="0.15"/>
    <row r="74" spans="1:6" s="48" customFormat="1" ht="18" customHeight="1" x14ac:dyDescent="0.15"/>
    <row r="75" spans="1:6" s="48" customFormat="1" x14ac:dyDescent="0.15"/>
    <row r="76" spans="1:6" s="48" customFormat="1" x14ac:dyDescent="0.15"/>
    <row r="77" spans="1:6" s="48" customFormat="1" x14ac:dyDescent="0.15"/>
    <row r="78" spans="1:6" s="48" customFormat="1" x14ac:dyDescent="0.15"/>
    <row r="79" spans="1:6" s="48" customFormat="1" x14ac:dyDescent="0.15"/>
    <row r="80" spans="1:6" s="48" customFormat="1" x14ac:dyDescent="0.15"/>
    <row r="81" s="48" customFormat="1" x14ac:dyDescent="0.15"/>
    <row r="82" s="48" customFormat="1" x14ac:dyDescent="0.15"/>
    <row r="83" s="48" customFormat="1" x14ac:dyDescent="0.15"/>
    <row r="84" s="48" customFormat="1" x14ac:dyDescent="0.15"/>
    <row r="85" s="48" customFormat="1" x14ac:dyDescent="0.15"/>
    <row r="86" s="48" customFormat="1" x14ac:dyDescent="0.15"/>
    <row r="87" s="48" customFormat="1" x14ac:dyDescent="0.15"/>
    <row r="88" s="48" customFormat="1" x14ac:dyDescent="0.15"/>
    <row r="89" s="48" customFormat="1" x14ac:dyDescent="0.15"/>
    <row r="90" s="48" customFormat="1" x14ac:dyDescent="0.15"/>
    <row r="91" s="48" customFormat="1" x14ac:dyDescent="0.15"/>
    <row r="92" s="48" customFormat="1" x14ac:dyDescent="0.15"/>
    <row r="93" s="48" customFormat="1" x14ac:dyDescent="0.15"/>
    <row r="94" s="48" customFormat="1" x14ac:dyDescent="0.15"/>
    <row r="95" s="48" customFormat="1" x14ac:dyDescent="0.15"/>
    <row r="96" s="48" customFormat="1" x14ac:dyDescent="0.15"/>
    <row r="97" s="48" customFormat="1" x14ac:dyDescent="0.15"/>
    <row r="98" s="48" customFormat="1" x14ac:dyDescent="0.15"/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G67"/>
  <sheetViews>
    <sheetView topLeftCell="A30" zoomScale="127" zoomScaleNormal="127" workbookViewId="0">
      <selection activeCell="F67" sqref="F67"/>
    </sheetView>
  </sheetViews>
  <sheetFormatPr baseColWidth="10" defaultColWidth="10.6640625" defaultRowHeight="18" customHeight="1" x14ac:dyDescent="0.15"/>
  <cols>
    <col min="1" max="2" width="10.6640625" style="48"/>
    <col min="3" max="3" width="15.6640625" style="48" customWidth="1"/>
    <col min="4" max="4" width="10.6640625" style="48"/>
    <col min="5" max="5" width="13.33203125" style="48" customWidth="1"/>
    <col min="6" max="6" width="25" style="48" customWidth="1"/>
    <col min="7" max="16384" width="10.6640625" style="48"/>
  </cols>
  <sheetData>
    <row r="1" spans="1:7" ht="18" customHeight="1" x14ac:dyDescent="0.15">
      <c r="A1" s="57" t="s">
        <v>680</v>
      </c>
      <c r="B1" s="58" t="s">
        <v>681</v>
      </c>
      <c r="C1" s="59" t="s">
        <v>229</v>
      </c>
      <c r="D1" s="60" t="s">
        <v>230</v>
      </c>
      <c r="E1" s="59" t="s">
        <v>152</v>
      </c>
      <c r="F1" s="59" t="s">
        <v>86</v>
      </c>
      <c r="G1" s="48" t="s">
        <v>802</v>
      </c>
    </row>
    <row r="2" spans="1:7" ht="18" customHeight="1" x14ac:dyDescent="0.15">
      <c r="A2" s="61" t="s">
        <v>788</v>
      </c>
      <c r="B2" s="61" t="s">
        <v>574</v>
      </c>
      <c r="C2" s="61" t="s">
        <v>250</v>
      </c>
      <c r="D2" s="61">
        <v>155</v>
      </c>
      <c r="E2" s="61" t="s">
        <v>789</v>
      </c>
      <c r="F2" s="61" t="s">
        <v>87</v>
      </c>
    </row>
    <row r="3" spans="1:7" ht="18" customHeight="1" x14ac:dyDescent="0.15">
      <c r="A3" s="62" t="s">
        <v>790</v>
      </c>
      <c r="B3" s="62" t="s">
        <v>576</v>
      </c>
      <c r="C3" s="62" t="s">
        <v>791</v>
      </c>
      <c r="D3" s="62">
        <v>154</v>
      </c>
      <c r="E3" s="62"/>
      <c r="F3" s="62" t="s">
        <v>87</v>
      </c>
      <c r="G3" s="48" t="s">
        <v>801</v>
      </c>
    </row>
    <row r="4" spans="1:7" ht="18" customHeight="1" x14ac:dyDescent="0.15">
      <c r="A4" s="62" t="s">
        <v>792</v>
      </c>
      <c r="B4" s="62" t="s">
        <v>574</v>
      </c>
      <c r="C4" s="62" t="s">
        <v>793</v>
      </c>
      <c r="D4" s="62">
        <v>249</v>
      </c>
      <c r="E4" s="62"/>
      <c r="F4" s="62" t="s">
        <v>87</v>
      </c>
      <c r="G4" s="48" t="s">
        <v>801</v>
      </c>
    </row>
    <row r="5" spans="1:7" ht="18" customHeight="1" x14ac:dyDescent="0.15">
      <c r="A5" s="62" t="s">
        <v>794</v>
      </c>
      <c r="B5" s="62" t="s">
        <v>576</v>
      </c>
      <c r="C5" s="62" t="s">
        <v>394</v>
      </c>
      <c r="D5" s="62">
        <v>203</v>
      </c>
      <c r="E5" s="62"/>
      <c r="F5" s="62" t="s">
        <v>87</v>
      </c>
    </row>
    <row r="6" spans="1:7" ht="18" customHeight="1" x14ac:dyDescent="0.15">
      <c r="A6" s="62" t="s">
        <v>795</v>
      </c>
      <c r="B6" s="62" t="s">
        <v>574</v>
      </c>
      <c r="C6" s="62" t="s">
        <v>394</v>
      </c>
      <c r="D6" s="62">
        <v>268</v>
      </c>
      <c r="E6" s="62"/>
      <c r="F6" s="62" t="s">
        <v>87</v>
      </c>
    </row>
    <row r="7" spans="1:7" ht="18" customHeight="1" x14ac:dyDescent="0.15">
      <c r="A7" s="62" t="s">
        <v>796</v>
      </c>
      <c r="B7" s="62" t="s">
        <v>576</v>
      </c>
      <c r="C7" s="62" t="s">
        <v>797</v>
      </c>
      <c r="D7" s="62">
        <v>380</v>
      </c>
      <c r="E7" s="62"/>
      <c r="F7" s="62" t="s">
        <v>87</v>
      </c>
    </row>
    <row r="8" spans="1:7" ht="18" customHeight="1" x14ac:dyDescent="0.15">
      <c r="A8" s="62" t="s">
        <v>798</v>
      </c>
      <c r="B8" s="62" t="s">
        <v>574</v>
      </c>
      <c r="C8" s="62" t="s">
        <v>803</v>
      </c>
      <c r="D8" s="62">
        <v>282</v>
      </c>
      <c r="E8" s="62"/>
      <c r="F8" s="62" t="s">
        <v>87</v>
      </c>
    </row>
    <row r="9" spans="1:7" ht="18" customHeight="1" x14ac:dyDescent="0.15">
      <c r="A9" s="62" t="s">
        <v>819</v>
      </c>
      <c r="B9" s="62" t="s">
        <v>576</v>
      </c>
      <c r="C9" s="62" t="s">
        <v>820</v>
      </c>
      <c r="D9" s="62">
        <v>116</v>
      </c>
      <c r="E9" s="62"/>
      <c r="F9" s="62" t="s">
        <v>87</v>
      </c>
    </row>
    <row r="10" spans="1:7" ht="18" customHeight="1" x14ac:dyDescent="0.15">
      <c r="A10" s="62" t="s">
        <v>799</v>
      </c>
      <c r="B10" s="62" t="s">
        <v>574</v>
      </c>
      <c r="C10" s="62" t="s">
        <v>800</v>
      </c>
      <c r="D10" s="62">
        <v>137</v>
      </c>
      <c r="E10" s="62"/>
      <c r="F10" s="62" t="s">
        <v>87</v>
      </c>
    </row>
    <row r="11" spans="1:7" ht="18" customHeight="1" x14ac:dyDescent="0.15">
      <c r="A11" s="62" t="s">
        <v>804</v>
      </c>
      <c r="B11" s="62" t="s">
        <v>576</v>
      </c>
      <c r="C11" s="62" t="s">
        <v>382</v>
      </c>
      <c r="D11" s="62">
        <v>86</v>
      </c>
      <c r="E11" s="62" t="s">
        <v>821</v>
      </c>
      <c r="F11" s="62" t="s">
        <v>87</v>
      </c>
    </row>
    <row r="12" spans="1:7" ht="18" customHeight="1" x14ac:dyDescent="0.15">
      <c r="A12" s="62" t="s">
        <v>805</v>
      </c>
      <c r="B12" s="62" t="s">
        <v>576</v>
      </c>
      <c r="C12" s="62" t="s">
        <v>806</v>
      </c>
      <c r="D12" s="62" t="s">
        <v>822</v>
      </c>
      <c r="E12" s="62" t="s">
        <v>823</v>
      </c>
      <c r="F12" s="62" t="s">
        <v>87</v>
      </c>
    </row>
    <row r="13" spans="1:7" ht="18" customHeight="1" x14ac:dyDescent="0.15">
      <c r="A13" s="62" t="s">
        <v>807</v>
      </c>
      <c r="B13" s="62" t="s">
        <v>576</v>
      </c>
      <c r="C13" s="62" t="s">
        <v>382</v>
      </c>
      <c r="D13" s="62">
        <v>143</v>
      </c>
      <c r="E13" s="62"/>
      <c r="F13" s="62" t="s">
        <v>87</v>
      </c>
    </row>
    <row r="14" spans="1:7" ht="18" customHeight="1" x14ac:dyDescent="0.15">
      <c r="A14" s="62" t="s">
        <v>808</v>
      </c>
      <c r="B14" s="62" t="s">
        <v>576</v>
      </c>
      <c r="C14" s="62" t="s">
        <v>394</v>
      </c>
      <c r="D14" s="62">
        <v>201</v>
      </c>
      <c r="E14" s="62"/>
      <c r="F14" s="62" t="s">
        <v>87</v>
      </c>
    </row>
    <row r="15" spans="1:7" ht="18" customHeight="1" x14ac:dyDescent="0.15">
      <c r="A15" s="62" t="s">
        <v>810</v>
      </c>
      <c r="B15" s="62" t="s">
        <v>576</v>
      </c>
      <c r="C15" s="62" t="s">
        <v>809</v>
      </c>
      <c r="D15" s="62">
        <v>190</v>
      </c>
      <c r="E15" s="62"/>
      <c r="F15" s="62" t="s">
        <v>87</v>
      </c>
    </row>
    <row r="16" spans="1:7" ht="18" customHeight="1" x14ac:dyDescent="0.15">
      <c r="A16" s="62" t="s">
        <v>811</v>
      </c>
      <c r="B16" s="62" t="s">
        <v>574</v>
      </c>
      <c r="C16" s="62" t="s">
        <v>394</v>
      </c>
      <c r="D16" s="62">
        <v>304</v>
      </c>
      <c r="E16" s="62"/>
      <c r="F16" s="62" t="s">
        <v>87</v>
      </c>
    </row>
    <row r="17" spans="1:6" ht="18" customHeight="1" x14ac:dyDescent="0.15">
      <c r="A17" s="62" t="s">
        <v>812</v>
      </c>
      <c r="B17" s="65">
        <v>0.6875</v>
      </c>
      <c r="C17" s="62" t="s">
        <v>413</v>
      </c>
      <c r="D17" s="62">
        <v>215</v>
      </c>
      <c r="E17" s="62"/>
      <c r="F17" s="62" t="s">
        <v>88</v>
      </c>
    </row>
    <row r="18" spans="1:6" ht="18" customHeight="1" x14ac:dyDescent="0.15">
      <c r="A18" s="62" t="s">
        <v>813</v>
      </c>
      <c r="B18" s="62" t="s">
        <v>576</v>
      </c>
      <c r="C18" s="62" t="s">
        <v>532</v>
      </c>
      <c r="D18" s="62">
        <v>71</v>
      </c>
      <c r="E18" s="62"/>
      <c r="F18" s="62" t="s">
        <v>88</v>
      </c>
    </row>
    <row r="19" spans="1:6" ht="18" customHeight="1" x14ac:dyDescent="0.15">
      <c r="A19" s="62" t="s">
        <v>814</v>
      </c>
      <c r="B19" s="62" t="s">
        <v>576</v>
      </c>
      <c r="C19" s="62" t="s">
        <v>392</v>
      </c>
      <c r="D19" s="62">
        <v>290</v>
      </c>
      <c r="E19" s="62"/>
      <c r="F19" s="62" t="s">
        <v>87</v>
      </c>
    </row>
    <row r="20" spans="1:6" ht="18" customHeight="1" x14ac:dyDescent="0.15">
      <c r="A20" s="62" t="s">
        <v>815</v>
      </c>
      <c r="B20" s="62" t="s">
        <v>574</v>
      </c>
      <c r="C20" s="62" t="s">
        <v>392</v>
      </c>
      <c r="D20" s="62">
        <v>298</v>
      </c>
      <c r="E20" s="62"/>
      <c r="F20" s="62" t="s">
        <v>87</v>
      </c>
    </row>
    <row r="21" spans="1:6" ht="18" customHeight="1" x14ac:dyDescent="0.15">
      <c r="A21" s="62" t="s">
        <v>816</v>
      </c>
      <c r="B21" s="62" t="s">
        <v>576</v>
      </c>
      <c r="C21" s="62" t="s">
        <v>484</v>
      </c>
      <c r="D21" s="62">
        <v>122</v>
      </c>
      <c r="E21" s="62"/>
      <c r="F21" s="62" t="s">
        <v>87</v>
      </c>
    </row>
    <row r="22" spans="1:6" ht="18" customHeight="1" x14ac:dyDescent="0.15">
      <c r="A22" s="62" t="s">
        <v>817</v>
      </c>
      <c r="B22" s="62" t="s">
        <v>608</v>
      </c>
      <c r="C22" s="62" t="s">
        <v>56</v>
      </c>
      <c r="D22" s="62">
        <v>44</v>
      </c>
      <c r="E22" s="62"/>
      <c r="F22" s="62" t="s">
        <v>88</v>
      </c>
    </row>
    <row r="23" spans="1:6" ht="18" customHeight="1" x14ac:dyDescent="0.15">
      <c r="A23" s="62" t="s">
        <v>818</v>
      </c>
      <c r="B23" s="62" t="s">
        <v>608</v>
      </c>
      <c r="C23" s="62" t="s">
        <v>56</v>
      </c>
      <c r="D23" s="62">
        <v>51</v>
      </c>
      <c r="E23" s="62"/>
      <c r="F23" s="62" t="s">
        <v>88</v>
      </c>
    </row>
    <row r="24" spans="1:6" ht="18" customHeight="1" x14ac:dyDescent="0.15">
      <c r="A24" s="63"/>
      <c r="B24" s="63"/>
      <c r="C24" s="63"/>
      <c r="D24" s="63"/>
      <c r="E24" s="63"/>
      <c r="F24" s="63"/>
    </row>
    <row r="25" spans="1:6" ht="18" customHeight="1" x14ac:dyDescent="0.15">
      <c r="A25" s="62" t="s">
        <v>824</v>
      </c>
      <c r="B25" s="62" t="s">
        <v>576</v>
      </c>
      <c r="C25" s="62" t="s">
        <v>918</v>
      </c>
      <c r="D25" s="62">
        <v>239</v>
      </c>
      <c r="E25" s="62"/>
      <c r="F25" s="62" t="s">
        <v>727</v>
      </c>
    </row>
    <row r="26" spans="1:6" ht="18" customHeight="1" x14ac:dyDescent="0.15">
      <c r="A26" s="62" t="s">
        <v>825</v>
      </c>
      <c r="B26" s="62" t="s">
        <v>576</v>
      </c>
      <c r="C26" s="62" t="s">
        <v>723</v>
      </c>
      <c r="D26" s="62">
        <v>79</v>
      </c>
      <c r="E26" s="62"/>
      <c r="F26" s="62" t="s">
        <v>88</v>
      </c>
    </row>
    <row r="27" spans="1:6" ht="18" customHeight="1" x14ac:dyDescent="0.15">
      <c r="A27" s="62" t="s">
        <v>826</v>
      </c>
      <c r="B27" s="62" t="s">
        <v>576</v>
      </c>
      <c r="C27" s="62" t="s">
        <v>723</v>
      </c>
      <c r="D27" s="62" t="s">
        <v>837</v>
      </c>
      <c r="E27" s="62"/>
      <c r="F27" s="62" t="s">
        <v>88</v>
      </c>
    </row>
    <row r="28" spans="1:6" ht="18" customHeight="1" x14ac:dyDescent="0.15">
      <c r="A28" s="62" t="s">
        <v>827</v>
      </c>
      <c r="B28" s="62" t="s">
        <v>576</v>
      </c>
      <c r="C28" s="62" t="s">
        <v>828</v>
      </c>
      <c r="D28" s="62">
        <v>266</v>
      </c>
      <c r="E28" s="62"/>
      <c r="F28" s="62" t="s">
        <v>727</v>
      </c>
    </row>
    <row r="29" spans="1:6" ht="18" customHeight="1" x14ac:dyDescent="0.15">
      <c r="A29" s="62" t="s">
        <v>829</v>
      </c>
      <c r="B29" s="62" t="s">
        <v>576</v>
      </c>
      <c r="C29" s="62" t="s">
        <v>830</v>
      </c>
      <c r="D29" s="62">
        <v>185</v>
      </c>
      <c r="E29" s="62"/>
      <c r="F29" s="62" t="s">
        <v>727</v>
      </c>
    </row>
    <row r="30" spans="1:6" ht="18" customHeight="1" x14ac:dyDescent="0.15">
      <c r="A30" s="62" t="s">
        <v>831</v>
      </c>
      <c r="B30" s="62" t="s">
        <v>576</v>
      </c>
      <c r="C30" s="62" t="s">
        <v>832</v>
      </c>
      <c r="D30" s="62">
        <v>240</v>
      </c>
      <c r="E30" s="62"/>
      <c r="F30" s="62" t="s">
        <v>727</v>
      </c>
    </row>
    <row r="31" spans="1:6" ht="18" customHeight="1" x14ac:dyDescent="0.15">
      <c r="A31" s="62" t="s">
        <v>836</v>
      </c>
      <c r="B31" s="62" t="s">
        <v>576</v>
      </c>
      <c r="C31" s="62" t="s">
        <v>520</v>
      </c>
      <c r="D31" s="62">
        <v>219</v>
      </c>
      <c r="E31" s="62"/>
      <c r="F31" s="62" t="s">
        <v>727</v>
      </c>
    </row>
    <row r="32" spans="1:6" ht="18" customHeight="1" x14ac:dyDescent="0.15">
      <c r="A32" s="62" t="s">
        <v>833</v>
      </c>
      <c r="B32" s="62" t="s">
        <v>576</v>
      </c>
      <c r="C32" s="62" t="s">
        <v>834</v>
      </c>
      <c r="D32" s="62">
        <v>59</v>
      </c>
      <c r="E32" s="62"/>
      <c r="F32" s="62" t="s">
        <v>88</v>
      </c>
    </row>
    <row r="33" spans="1:6" ht="18" customHeight="1" x14ac:dyDescent="0.15">
      <c r="A33" s="62" t="s">
        <v>838</v>
      </c>
      <c r="B33" s="62" t="s">
        <v>574</v>
      </c>
      <c r="C33" s="62" t="s">
        <v>520</v>
      </c>
      <c r="D33" s="62">
        <v>317</v>
      </c>
      <c r="E33" s="62"/>
      <c r="F33" s="62" t="s">
        <v>727</v>
      </c>
    </row>
    <row r="34" spans="1:6" ht="18" customHeight="1" x14ac:dyDescent="0.15">
      <c r="A34" s="62" t="s">
        <v>835</v>
      </c>
      <c r="B34" s="62" t="s">
        <v>608</v>
      </c>
      <c r="C34" s="62" t="s">
        <v>56</v>
      </c>
      <c r="D34" s="62" t="s">
        <v>90</v>
      </c>
      <c r="E34" s="62"/>
      <c r="F34" s="62" t="s">
        <v>88</v>
      </c>
    </row>
    <row r="35" spans="1:6" ht="18" customHeight="1" x14ac:dyDescent="0.15">
      <c r="A35" s="62" t="s">
        <v>839</v>
      </c>
      <c r="B35" s="62" t="s">
        <v>840</v>
      </c>
      <c r="C35" s="62" t="s">
        <v>841</v>
      </c>
      <c r="D35" s="62">
        <v>111</v>
      </c>
      <c r="E35" s="62"/>
      <c r="F35" s="62" t="s">
        <v>727</v>
      </c>
    </row>
    <row r="36" spans="1:6" ht="18" customHeight="1" x14ac:dyDescent="0.15">
      <c r="A36" s="62" t="s">
        <v>842</v>
      </c>
      <c r="B36" s="62" t="s">
        <v>574</v>
      </c>
      <c r="C36" s="62" t="s">
        <v>843</v>
      </c>
      <c r="D36" s="62">
        <v>147</v>
      </c>
      <c r="E36" s="62"/>
      <c r="F36" s="62" t="s">
        <v>727</v>
      </c>
    </row>
    <row r="37" spans="1:6" ht="18" customHeight="1" x14ac:dyDescent="0.15">
      <c r="A37" s="62" t="s">
        <v>844</v>
      </c>
      <c r="B37" s="62" t="s">
        <v>638</v>
      </c>
      <c r="C37" s="62" t="s">
        <v>640</v>
      </c>
      <c r="D37" s="62">
        <v>156</v>
      </c>
      <c r="E37" s="62"/>
      <c r="F37" s="62" t="s">
        <v>88</v>
      </c>
    </row>
    <row r="38" spans="1:6" ht="18" customHeight="1" x14ac:dyDescent="0.15">
      <c r="A38" s="62" t="s">
        <v>845</v>
      </c>
      <c r="B38" s="66">
        <v>0.67708333333333337</v>
      </c>
      <c r="C38" s="62" t="s">
        <v>848</v>
      </c>
      <c r="D38" s="62">
        <v>60</v>
      </c>
      <c r="E38" s="62"/>
      <c r="F38" s="62" t="s">
        <v>88</v>
      </c>
    </row>
    <row r="39" spans="1:6" ht="18" customHeight="1" x14ac:dyDescent="0.15">
      <c r="A39" s="62" t="s">
        <v>846</v>
      </c>
      <c r="B39" s="66">
        <v>0.67708333333333337</v>
      </c>
      <c r="C39" s="62" t="s">
        <v>847</v>
      </c>
      <c r="D39" s="62">
        <v>95</v>
      </c>
      <c r="E39" s="62"/>
      <c r="F39" s="62" t="s">
        <v>88</v>
      </c>
    </row>
    <row r="40" spans="1:6" ht="18" customHeight="1" x14ac:dyDescent="0.15">
      <c r="A40" s="62" t="s">
        <v>869</v>
      </c>
      <c r="B40" s="66" t="s">
        <v>608</v>
      </c>
      <c r="C40" s="62" t="s">
        <v>870</v>
      </c>
      <c r="D40" s="62">
        <v>84</v>
      </c>
      <c r="E40" s="62"/>
      <c r="F40" s="62" t="s">
        <v>88</v>
      </c>
    </row>
    <row r="41" spans="1:6" ht="18" customHeight="1" x14ac:dyDescent="0.15">
      <c r="A41" s="62" t="s">
        <v>849</v>
      </c>
      <c r="B41" s="62" t="s">
        <v>576</v>
      </c>
      <c r="C41" s="62" t="s">
        <v>850</v>
      </c>
      <c r="D41" s="62">
        <v>121</v>
      </c>
      <c r="E41" s="62"/>
      <c r="F41" s="62" t="s">
        <v>727</v>
      </c>
    </row>
    <row r="42" spans="1:6" ht="18" customHeight="1" x14ac:dyDescent="0.15">
      <c r="A42" s="62" t="s">
        <v>852</v>
      </c>
      <c r="B42" s="62" t="s">
        <v>574</v>
      </c>
      <c r="C42" s="62" t="s">
        <v>853</v>
      </c>
      <c r="D42" s="62">
        <v>160</v>
      </c>
      <c r="E42" s="62"/>
      <c r="F42" s="62" t="s">
        <v>727</v>
      </c>
    </row>
    <row r="43" spans="1:6" ht="18" customHeight="1" x14ac:dyDescent="0.15">
      <c r="A43" s="62" t="s">
        <v>851</v>
      </c>
      <c r="B43" s="62" t="s">
        <v>608</v>
      </c>
      <c r="C43" s="62" t="s">
        <v>56</v>
      </c>
      <c r="D43" s="67">
        <v>71</v>
      </c>
      <c r="E43" s="62"/>
      <c r="F43" s="62" t="s">
        <v>88</v>
      </c>
    </row>
    <row r="44" spans="1:6" ht="18" customHeight="1" x14ac:dyDescent="0.15">
      <c r="A44" s="62" t="s">
        <v>871</v>
      </c>
      <c r="B44" s="62" t="s">
        <v>872</v>
      </c>
      <c r="C44" s="62" t="s">
        <v>873</v>
      </c>
      <c r="D44" s="67">
        <v>89</v>
      </c>
      <c r="E44" s="62"/>
      <c r="F44" s="62" t="s">
        <v>88</v>
      </c>
    </row>
    <row r="45" spans="1:6" ht="18" customHeight="1" x14ac:dyDescent="0.15">
      <c r="A45" s="62" t="s">
        <v>854</v>
      </c>
      <c r="B45" s="62" t="s">
        <v>574</v>
      </c>
      <c r="C45" s="62" t="s">
        <v>756</v>
      </c>
      <c r="D45" s="62" t="s">
        <v>307</v>
      </c>
      <c r="E45" s="62"/>
      <c r="F45" s="62" t="s">
        <v>727</v>
      </c>
    </row>
    <row r="46" spans="1:6" ht="18" customHeight="1" x14ac:dyDescent="0.15">
      <c r="A46" s="62" t="s">
        <v>855</v>
      </c>
      <c r="B46" s="62" t="s">
        <v>576</v>
      </c>
      <c r="C46" s="62" t="s">
        <v>761</v>
      </c>
      <c r="D46" s="62">
        <v>367</v>
      </c>
      <c r="E46" s="62"/>
      <c r="F46" s="62" t="s">
        <v>727</v>
      </c>
    </row>
    <row r="47" spans="1:6" ht="18" customHeight="1" x14ac:dyDescent="0.15">
      <c r="A47" s="62" t="s">
        <v>856</v>
      </c>
      <c r="B47" s="62" t="s">
        <v>574</v>
      </c>
      <c r="C47" s="62" t="s">
        <v>761</v>
      </c>
      <c r="D47" s="62">
        <v>470</v>
      </c>
      <c r="E47" s="62"/>
      <c r="F47" s="62" t="s">
        <v>727</v>
      </c>
    </row>
    <row r="48" spans="1:6" ht="18" customHeight="1" x14ac:dyDescent="0.15">
      <c r="A48" s="62" t="s">
        <v>857</v>
      </c>
      <c r="B48" s="62" t="s">
        <v>576</v>
      </c>
      <c r="C48" s="62" t="s">
        <v>858</v>
      </c>
      <c r="D48" s="62">
        <v>150</v>
      </c>
      <c r="E48" s="62"/>
      <c r="F48" s="62" t="s">
        <v>727</v>
      </c>
    </row>
    <row r="49" spans="1:6" ht="18" customHeight="1" x14ac:dyDescent="0.15">
      <c r="A49" s="62" t="s">
        <v>859</v>
      </c>
      <c r="B49" s="62" t="s">
        <v>576</v>
      </c>
      <c r="C49" s="62" t="s">
        <v>860</v>
      </c>
      <c r="D49" s="62" t="s">
        <v>307</v>
      </c>
      <c r="E49" s="62"/>
      <c r="F49" s="62" t="s">
        <v>727</v>
      </c>
    </row>
    <row r="50" spans="1:6" ht="18" customHeight="1" x14ac:dyDescent="0.15">
      <c r="A50" s="62" t="s">
        <v>861</v>
      </c>
      <c r="B50" s="62" t="s">
        <v>594</v>
      </c>
      <c r="C50" s="62" t="s">
        <v>532</v>
      </c>
      <c r="D50" s="62">
        <v>131</v>
      </c>
      <c r="E50" s="62"/>
      <c r="F50" s="62" t="s">
        <v>88</v>
      </c>
    </row>
    <row r="51" spans="1:6" ht="18" customHeight="1" x14ac:dyDescent="0.15">
      <c r="A51" s="62" t="s">
        <v>862</v>
      </c>
      <c r="B51" s="62" t="s">
        <v>576</v>
      </c>
      <c r="C51" s="62" t="s">
        <v>775</v>
      </c>
      <c r="D51" s="62">
        <v>183</v>
      </c>
      <c r="E51" s="62"/>
      <c r="F51" s="62" t="s">
        <v>727</v>
      </c>
    </row>
    <row r="52" spans="1:6" ht="18" customHeight="1" x14ac:dyDescent="0.15">
      <c r="A52" s="62" t="s">
        <v>863</v>
      </c>
      <c r="B52" s="62" t="s">
        <v>576</v>
      </c>
      <c r="C52" s="62" t="s">
        <v>640</v>
      </c>
      <c r="D52" s="62">
        <v>279</v>
      </c>
      <c r="E52" s="62"/>
      <c r="F52" s="62" t="s">
        <v>727</v>
      </c>
    </row>
    <row r="53" spans="1:6" ht="18" customHeight="1" x14ac:dyDescent="0.15">
      <c r="A53" s="62" t="s">
        <v>864</v>
      </c>
      <c r="B53" s="62" t="s">
        <v>778</v>
      </c>
      <c r="C53" s="62" t="s">
        <v>779</v>
      </c>
      <c r="D53" s="62">
        <v>201</v>
      </c>
      <c r="E53" s="62"/>
      <c r="F53" s="62" t="s">
        <v>727</v>
      </c>
    </row>
    <row r="54" spans="1:6" ht="18" customHeight="1" x14ac:dyDescent="0.15">
      <c r="A54" s="62" t="s">
        <v>864</v>
      </c>
      <c r="B54" s="65" t="s">
        <v>671</v>
      </c>
      <c r="C54" s="62" t="s">
        <v>775</v>
      </c>
      <c r="D54" s="62">
        <v>547</v>
      </c>
      <c r="E54" s="62"/>
      <c r="F54" s="62" t="s">
        <v>727</v>
      </c>
    </row>
    <row r="55" spans="1:6" ht="18" customHeight="1" x14ac:dyDescent="0.15">
      <c r="A55" s="62" t="s">
        <v>865</v>
      </c>
      <c r="B55" s="64" t="s">
        <v>781</v>
      </c>
      <c r="C55" s="62" t="s">
        <v>782</v>
      </c>
      <c r="D55" s="62">
        <v>87</v>
      </c>
      <c r="E55" s="62"/>
      <c r="F55" s="62" t="s">
        <v>727</v>
      </c>
    </row>
    <row r="56" spans="1:6" ht="18" customHeight="1" x14ac:dyDescent="0.15">
      <c r="A56" s="62" t="s">
        <v>865</v>
      </c>
      <c r="B56" s="62" t="s">
        <v>576</v>
      </c>
      <c r="C56" s="62" t="s">
        <v>779</v>
      </c>
      <c r="D56" s="62">
        <v>97</v>
      </c>
      <c r="E56" s="62"/>
      <c r="F56" s="62" t="s">
        <v>727</v>
      </c>
    </row>
    <row r="57" spans="1:6" ht="18" customHeight="1" x14ac:dyDescent="0.15">
      <c r="A57" s="62" t="s">
        <v>866</v>
      </c>
      <c r="B57" s="62" t="s">
        <v>576</v>
      </c>
      <c r="C57" s="62" t="s">
        <v>784</v>
      </c>
      <c r="D57" s="62">
        <v>157</v>
      </c>
      <c r="E57" s="62"/>
      <c r="F57" s="62" t="s">
        <v>727</v>
      </c>
    </row>
    <row r="58" spans="1:6" ht="18" customHeight="1" x14ac:dyDescent="0.15">
      <c r="A58" s="62" t="s">
        <v>867</v>
      </c>
      <c r="B58" s="62" t="s">
        <v>608</v>
      </c>
      <c r="C58" s="62" t="s">
        <v>56</v>
      </c>
      <c r="D58" s="62">
        <v>62</v>
      </c>
      <c r="E58" s="62"/>
      <c r="F58" s="62" t="s">
        <v>88</v>
      </c>
    </row>
    <row r="59" spans="1:6" ht="18" customHeight="1" x14ac:dyDescent="0.15">
      <c r="A59" s="62" t="s">
        <v>868</v>
      </c>
      <c r="B59" s="62" t="s">
        <v>608</v>
      </c>
      <c r="C59" s="62" t="s">
        <v>56</v>
      </c>
      <c r="D59" s="62">
        <v>63</v>
      </c>
      <c r="E59" s="62"/>
      <c r="F59" s="62" t="s">
        <v>88</v>
      </c>
    </row>
    <row r="60" spans="1:6" ht="18" customHeight="1" x14ac:dyDescent="0.15">
      <c r="A60" s="62"/>
      <c r="B60" s="62"/>
      <c r="C60" s="62"/>
      <c r="D60" s="62"/>
      <c r="E60" s="62"/>
      <c r="F60" s="62"/>
    </row>
    <row r="61" spans="1:6" ht="18" customHeight="1" x14ac:dyDescent="0.15">
      <c r="A61" s="62" t="s">
        <v>874</v>
      </c>
      <c r="B61" s="62" t="s">
        <v>875</v>
      </c>
      <c r="C61" s="62" t="s">
        <v>876</v>
      </c>
      <c r="D61" s="62" t="s">
        <v>837</v>
      </c>
      <c r="E61" s="62" t="s">
        <v>877</v>
      </c>
      <c r="F61" s="62" t="s">
        <v>878</v>
      </c>
    </row>
    <row r="62" spans="1:6" ht="18" customHeight="1" x14ac:dyDescent="0.15">
      <c r="A62" s="62" t="s">
        <v>879</v>
      </c>
      <c r="B62" s="62" t="s">
        <v>608</v>
      </c>
      <c r="C62" s="62" t="s">
        <v>876</v>
      </c>
      <c r="D62" s="62" t="s">
        <v>611</v>
      </c>
      <c r="E62" s="62"/>
      <c r="F62" s="62" t="s">
        <v>880</v>
      </c>
    </row>
    <row r="63" spans="1:6" ht="18" customHeight="1" x14ac:dyDescent="0.15">
      <c r="A63" s="62" t="s">
        <v>881</v>
      </c>
      <c r="B63" s="62" t="s">
        <v>882</v>
      </c>
      <c r="C63" s="62" t="s">
        <v>876</v>
      </c>
      <c r="D63" s="62" t="s">
        <v>883</v>
      </c>
      <c r="E63" s="62" t="s">
        <v>884</v>
      </c>
      <c r="F63" s="62" t="s">
        <v>885</v>
      </c>
    </row>
    <row r="64" spans="1:6" ht="18" customHeight="1" x14ac:dyDescent="0.15">
      <c r="A64" s="62" t="s">
        <v>886</v>
      </c>
      <c r="B64" s="62" t="s">
        <v>875</v>
      </c>
      <c r="C64" s="62" t="s">
        <v>876</v>
      </c>
      <c r="D64" s="62" t="s">
        <v>887</v>
      </c>
      <c r="E64" s="62" t="s">
        <v>888</v>
      </c>
      <c r="F64" s="62" t="s">
        <v>1158</v>
      </c>
    </row>
    <row r="65" spans="1:6" ht="18" customHeight="1" x14ac:dyDescent="0.15">
      <c r="A65" s="62" t="s">
        <v>889</v>
      </c>
      <c r="B65" s="62" t="s">
        <v>875</v>
      </c>
      <c r="C65" s="62" t="s">
        <v>876</v>
      </c>
      <c r="D65" s="62" t="s">
        <v>890</v>
      </c>
      <c r="E65" s="62"/>
      <c r="F65" s="62" t="s">
        <v>891</v>
      </c>
    </row>
    <row r="66" spans="1:6" ht="18" customHeight="1" x14ac:dyDescent="0.15">
      <c r="A66" s="62" t="s">
        <v>892</v>
      </c>
      <c r="B66" s="62" t="s">
        <v>875</v>
      </c>
      <c r="C66" s="62" t="s">
        <v>876</v>
      </c>
      <c r="D66" s="62" t="s">
        <v>893</v>
      </c>
      <c r="E66" s="62"/>
      <c r="F66" s="62" t="s">
        <v>894</v>
      </c>
    </row>
    <row r="67" spans="1:6" ht="18" customHeight="1" x14ac:dyDescent="0.15">
      <c r="A67" s="62" t="s">
        <v>895</v>
      </c>
      <c r="B67" s="62" t="s">
        <v>896</v>
      </c>
      <c r="C67" s="62" t="s">
        <v>876</v>
      </c>
      <c r="D67" s="62" t="s">
        <v>883</v>
      </c>
      <c r="E67" s="62" t="s">
        <v>884</v>
      </c>
      <c r="F67" s="62" t="s">
        <v>897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G69"/>
  <sheetViews>
    <sheetView topLeftCell="A36" zoomScale="123" zoomScaleNormal="123" workbookViewId="0">
      <selection activeCell="D57" sqref="D57"/>
    </sheetView>
  </sheetViews>
  <sheetFormatPr baseColWidth="10" defaultColWidth="10.6640625" defaultRowHeight="18" customHeight="1" x14ac:dyDescent="0.15"/>
  <cols>
    <col min="1" max="2" width="10.6640625" style="48"/>
    <col min="3" max="3" width="15.6640625" style="48" customWidth="1"/>
    <col min="4" max="4" width="10.6640625" style="48"/>
    <col min="5" max="5" width="13.33203125" style="48" customWidth="1"/>
    <col min="6" max="6" width="13.5" style="48" customWidth="1"/>
    <col min="7" max="16384" width="10.6640625" style="48"/>
  </cols>
  <sheetData>
    <row r="1" spans="1:7" ht="18" customHeight="1" x14ac:dyDescent="0.15">
      <c r="A1" s="57" t="s">
        <v>680</v>
      </c>
      <c r="B1" s="58" t="s">
        <v>681</v>
      </c>
      <c r="C1" s="59" t="s">
        <v>229</v>
      </c>
      <c r="D1" s="60" t="s">
        <v>230</v>
      </c>
      <c r="E1" s="59" t="s">
        <v>152</v>
      </c>
      <c r="F1" s="59" t="s">
        <v>86</v>
      </c>
    </row>
    <row r="2" spans="1:7" ht="18" customHeight="1" x14ac:dyDescent="0.15">
      <c r="A2" s="61" t="s">
        <v>682</v>
      </c>
      <c r="B2" s="61" t="s">
        <v>574</v>
      </c>
      <c r="C2" s="61" t="s">
        <v>250</v>
      </c>
      <c r="D2" s="61">
        <v>112</v>
      </c>
      <c r="E2" s="61" t="s">
        <v>512</v>
      </c>
      <c r="F2" s="61" t="s">
        <v>87</v>
      </c>
    </row>
    <row r="3" spans="1:7" ht="18" customHeight="1" x14ac:dyDescent="0.15">
      <c r="A3" s="62" t="s">
        <v>683</v>
      </c>
      <c r="B3" s="62" t="s">
        <v>576</v>
      </c>
      <c r="C3" s="62" t="s">
        <v>684</v>
      </c>
      <c r="D3" s="62">
        <v>557</v>
      </c>
      <c r="E3" s="62" t="s">
        <v>685</v>
      </c>
      <c r="F3" s="62" t="s">
        <v>87</v>
      </c>
      <c r="G3" s="53" t="s">
        <v>686</v>
      </c>
    </row>
    <row r="4" spans="1:7" ht="18" customHeight="1" x14ac:dyDescent="0.15">
      <c r="A4" s="62" t="s">
        <v>687</v>
      </c>
      <c r="B4" s="62" t="s">
        <v>576</v>
      </c>
      <c r="C4" s="62" t="s">
        <v>21</v>
      </c>
      <c r="D4" s="62">
        <v>184</v>
      </c>
      <c r="E4" s="62" t="s">
        <v>690</v>
      </c>
      <c r="F4" s="62" t="s">
        <v>87</v>
      </c>
    </row>
    <row r="5" spans="1:7" ht="18" customHeight="1" x14ac:dyDescent="0.15">
      <c r="A5" s="62" t="s">
        <v>688</v>
      </c>
      <c r="B5" s="62" t="s">
        <v>574</v>
      </c>
      <c r="C5" s="62" t="s">
        <v>689</v>
      </c>
      <c r="D5" s="62">
        <v>97</v>
      </c>
      <c r="E5" s="62"/>
      <c r="F5" s="62" t="s">
        <v>87</v>
      </c>
    </row>
    <row r="6" spans="1:7" ht="18" customHeight="1" x14ac:dyDescent="0.15">
      <c r="A6" s="62" t="s">
        <v>692</v>
      </c>
      <c r="B6" s="62" t="s">
        <v>576</v>
      </c>
      <c r="C6" s="62" t="s">
        <v>394</v>
      </c>
      <c r="D6" s="62">
        <v>320</v>
      </c>
      <c r="E6" s="62" t="s">
        <v>693</v>
      </c>
      <c r="F6" s="62" t="s">
        <v>87</v>
      </c>
    </row>
    <row r="7" spans="1:7" ht="18" customHeight="1" x14ac:dyDescent="0.15">
      <c r="A7" s="62" t="s">
        <v>694</v>
      </c>
      <c r="B7" s="62" t="s">
        <v>574</v>
      </c>
      <c r="C7" s="62" t="s">
        <v>394</v>
      </c>
      <c r="D7" s="62">
        <v>242</v>
      </c>
      <c r="E7" s="62"/>
      <c r="F7" s="62" t="s">
        <v>87</v>
      </c>
    </row>
    <row r="8" spans="1:7" ht="18" customHeight="1" x14ac:dyDescent="0.15">
      <c r="A8" s="62" t="s">
        <v>695</v>
      </c>
      <c r="B8" s="62" t="s">
        <v>576</v>
      </c>
      <c r="C8" s="62" t="s">
        <v>696</v>
      </c>
      <c r="D8" s="62">
        <v>255</v>
      </c>
      <c r="E8" s="62"/>
      <c r="F8" s="62" t="s">
        <v>87</v>
      </c>
    </row>
    <row r="9" spans="1:7" ht="18" customHeight="1" x14ac:dyDescent="0.15">
      <c r="A9" s="62" t="s">
        <v>697</v>
      </c>
      <c r="B9" s="62" t="s">
        <v>574</v>
      </c>
      <c r="C9" s="62" t="s">
        <v>698</v>
      </c>
      <c r="D9" s="62">
        <v>64</v>
      </c>
      <c r="E9" s="62"/>
      <c r="F9" s="62" t="s">
        <v>87</v>
      </c>
    </row>
    <row r="10" spans="1:7" ht="18" customHeight="1" x14ac:dyDescent="0.15">
      <c r="A10" s="62" t="s">
        <v>699</v>
      </c>
      <c r="B10" s="62" t="s">
        <v>594</v>
      </c>
      <c r="C10" s="62" t="s">
        <v>56</v>
      </c>
      <c r="D10" s="62"/>
      <c r="E10" s="62"/>
      <c r="F10" s="62" t="s">
        <v>88</v>
      </c>
    </row>
    <row r="11" spans="1:7" ht="18" customHeight="1" x14ac:dyDescent="0.15">
      <c r="A11" s="62" t="s">
        <v>700</v>
      </c>
      <c r="B11" s="62" t="s">
        <v>576</v>
      </c>
      <c r="C11" s="62" t="s">
        <v>701</v>
      </c>
      <c r="D11" s="62">
        <v>234</v>
      </c>
      <c r="E11" s="62"/>
      <c r="F11" s="62" t="s">
        <v>87</v>
      </c>
      <c r="G11" s="48" t="s">
        <v>705</v>
      </c>
    </row>
    <row r="12" spans="1:7" ht="18" customHeight="1" x14ac:dyDescent="0.15">
      <c r="A12" s="62" t="s">
        <v>702</v>
      </c>
      <c r="B12" s="62" t="s">
        <v>574</v>
      </c>
      <c r="C12" s="62" t="s">
        <v>703</v>
      </c>
      <c r="D12" s="62">
        <v>278</v>
      </c>
      <c r="E12" s="62"/>
      <c r="F12" s="62" t="s">
        <v>87</v>
      </c>
      <c r="G12" s="48" t="s">
        <v>704</v>
      </c>
    </row>
    <row r="13" spans="1:7" ht="18" customHeight="1" x14ac:dyDescent="0.15">
      <c r="A13" s="62" t="s">
        <v>706</v>
      </c>
      <c r="B13" s="62" t="s">
        <v>576</v>
      </c>
      <c r="C13" s="62" t="s">
        <v>599</v>
      </c>
      <c r="D13" s="62">
        <v>328</v>
      </c>
      <c r="E13" s="62"/>
      <c r="F13" s="62" t="s">
        <v>88</v>
      </c>
    </row>
    <row r="14" spans="1:7" ht="18" customHeight="1" x14ac:dyDescent="0.15">
      <c r="A14" s="62" t="s">
        <v>707</v>
      </c>
      <c r="B14" s="62" t="s">
        <v>574</v>
      </c>
      <c r="C14" s="62" t="s">
        <v>708</v>
      </c>
      <c r="D14" s="62">
        <v>62</v>
      </c>
      <c r="E14" s="62"/>
      <c r="F14" s="62" t="s">
        <v>88</v>
      </c>
    </row>
    <row r="15" spans="1:7" ht="18" customHeight="1" x14ac:dyDescent="0.15">
      <c r="A15" s="62" t="s">
        <v>707</v>
      </c>
      <c r="B15" s="62" t="s">
        <v>576</v>
      </c>
      <c r="C15" s="62" t="s">
        <v>709</v>
      </c>
      <c r="D15" s="62">
        <v>132</v>
      </c>
      <c r="E15" s="62"/>
      <c r="F15" s="62" t="s">
        <v>87</v>
      </c>
    </row>
    <row r="16" spans="1:7" ht="18" customHeight="1" x14ac:dyDescent="0.15">
      <c r="A16" s="62" t="s">
        <v>710</v>
      </c>
      <c r="B16" s="62" t="s">
        <v>576</v>
      </c>
      <c r="C16" s="62" t="s">
        <v>382</v>
      </c>
      <c r="D16" s="62">
        <v>104</v>
      </c>
      <c r="E16" s="62"/>
      <c r="F16" s="62" t="s">
        <v>87</v>
      </c>
    </row>
    <row r="17" spans="1:6" ht="18" customHeight="1" x14ac:dyDescent="0.15">
      <c r="A17" s="62" t="s">
        <v>711</v>
      </c>
      <c r="B17" s="62" t="s">
        <v>576</v>
      </c>
      <c r="C17" s="62" t="s">
        <v>712</v>
      </c>
      <c r="D17" s="62">
        <v>278</v>
      </c>
      <c r="E17" s="62"/>
      <c r="F17" s="62" t="s">
        <v>87</v>
      </c>
    </row>
    <row r="18" spans="1:6" ht="18" customHeight="1" x14ac:dyDescent="0.15">
      <c r="A18" s="62" t="s">
        <v>713</v>
      </c>
      <c r="B18" s="62" t="s">
        <v>574</v>
      </c>
      <c r="C18" s="62" t="s">
        <v>382</v>
      </c>
      <c r="D18" s="62">
        <v>225</v>
      </c>
      <c r="E18" s="62"/>
      <c r="F18" s="62" t="s">
        <v>87</v>
      </c>
    </row>
    <row r="19" spans="1:6" ht="18" customHeight="1" x14ac:dyDescent="0.15">
      <c r="A19" s="62" t="s">
        <v>714</v>
      </c>
      <c r="B19" s="62" t="s">
        <v>576</v>
      </c>
      <c r="C19" s="62" t="s">
        <v>532</v>
      </c>
      <c r="D19" s="62">
        <v>77</v>
      </c>
      <c r="E19" s="62"/>
      <c r="F19" s="62" t="s">
        <v>88</v>
      </c>
    </row>
    <row r="20" spans="1:6" ht="18" customHeight="1" x14ac:dyDescent="0.15">
      <c r="A20" s="62" t="s">
        <v>715</v>
      </c>
      <c r="B20" s="62" t="s">
        <v>576</v>
      </c>
      <c r="C20" s="62" t="s">
        <v>392</v>
      </c>
      <c r="D20" s="62">
        <v>306</v>
      </c>
      <c r="E20" s="62"/>
      <c r="F20" s="62" t="s">
        <v>87</v>
      </c>
    </row>
    <row r="21" spans="1:6" ht="18" customHeight="1" x14ac:dyDescent="0.15">
      <c r="A21" s="62" t="s">
        <v>716</v>
      </c>
      <c r="B21" s="62" t="s">
        <v>576</v>
      </c>
      <c r="C21" s="62" t="s">
        <v>394</v>
      </c>
      <c r="D21" s="62" t="s">
        <v>717</v>
      </c>
      <c r="E21" s="62"/>
      <c r="F21" s="62" t="s">
        <v>533</v>
      </c>
    </row>
    <row r="22" spans="1:6" ht="18" customHeight="1" x14ac:dyDescent="0.15">
      <c r="A22" s="62" t="s">
        <v>718</v>
      </c>
      <c r="B22" s="62" t="s">
        <v>574</v>
      </c>
      <c r="C22" s="62" t="s">
        <v>392</v>
      </c>
      <c r="D22" s="62">
        <v>341</v>
      </c>
      <c r="E22" s="62"/>
      <c r="F22" s="62" t="s">
        <v>87</v>
      </c>
    </row>
    <row r="23" spans="1:6" ht="18" customHeight="1" x14ac:dyDescent="0.15">
      <c r="A23" s="62" t="s">
        <v>718</v>
      </c>
      <c r="B23" s="62" t="s">
        <v>576</v>
      </c>
      <c r="C23" s="62" t="s">
        <v>394</v>
      </c>
      <c r="D23" s="62" t="s">
        <v>717</v>
      </c>
      <c r="E23" s="62"/>
      <c r="F23" s="62" t="s">
        <v>533</v>
      </c>
    </row>
    <row r="24" spans="1:6" ht="18" customHeight="1" x14ac:dyDescent="0.15">
      <c r="A24" s="62" t="s">
        <v>719</v>
      </c>
      <c r="B24" s="62" t="s">
        <v>576</v>
      </c>
      <c r="C24" s="62" t="s">
        <v>484</v>
      </c>
      <c r="D24" s="62">
        <v>118</v>
      </c>
      <c r="E24" s="62"/>
      <c r="F24" s="62" t="s">
        <v>87</v>
      </c>
    </row>
    <row r="25" spans="1:6" ht="18" customHeight="1" x14ac:dyDescent="0.15">
      <c r="A25" s="62" t="s">
        <v>720</v>
      </c>
      <c r="B25" s="62" t="s">
        <v>608</v>
      </c>
      <c r="C25" s="62" t="s">
        <v>56</v>
      </c>
      <c r="D25" s="62">
        <v>75</v>
      </c>
      <c r="E25" s="62"/>
      <c r="F25" s="62" t="s">
        <v>88</v>
      </c>
    </row>
    <row r="26" spans="1:6" ht="18" customHeight="1" x14ac:dyDescent="0.15">
      <c r="A26" s="62" t="s">
        <v>721</v>
      </c>
      <c r="B26" s="62" t="s">
        <v>608</v>
      </c>
      <c r="C26" s="62" t="s">
        <v>56</v>
      </c>
      <c r="D26" s="62">
        <v>50</v>
      </c>
      <c r="E26" s="62"/>
      <c r="F26" s="62" t="s">
        <v>88</v>
      </c>
    </row>
    <row r="27" spans="1:6" ht="18" customHeight="1" x14ac:dyDescent="0.15">
      <c r="A27" s="63"/>
      <c r="B27" s="63"/>
      <c r="C27" s="63"/>
      <c r="D27" s="63"/>
      <c r="E27" s="63"/>
      <c r="F27" s="63"/>
    </row>
    <row r="28" spans="1:6" ht="18" customHeight="1" x14ac:dyDescent="0.15">
      <c r="A28" s="62" t="s">
        <v>722</v>
      </c>
      <c r="B28" s="62" t="s">
        <v>576</v>
      </c>
      <c r="C28" s="62" t="s">
        <v>723</v>
      </c>
      <c r="D28" s="62">
        <v>76</v>
      </c>
      <c r="E28" s="62"/>
      <c r="F28" s="62" t="s">
        <v>88</v>
      </c>
    </row>
    <row r="29" spans="1:6" ht="18" customHeight="1" x14ac:dyDescent="0.15">
      <c r="A29" s="62" t="s">
        <v>724</v>
      </c>
      <c r="B29" s="62" t="s">
        <v>576</v>
      </c>
      <c r="C29" s="62" t="s">
        <v>723</v>
      </c>
      <c r="D29" s="62">
        <v>59</v>
      </c>
      <c r="E29" s="62"/>
      <c r="F29" s="62" t="s">
        <v>88</v>
      </c>
    </row>
    <row r="30" spans="1:6" ht="18" customHeight="1" x14ac:dyDescent="0.15">
      <c r="A30" s="62" t="s">
        <v>725</v>
      </c>
      <c r="B30" s="62" t="s">
        <v>576</v>
      </c>
      <c r="C30" s="62" t="s">
        <v>730</v>
      </c>
      <c r="D30" s="62">
        <v>255</v>
      </c>
      <c r="E30" s="62" t="s">
        <v>726</v>
      </c>
      <c r="F30" s="62" t="s">
        <v>727</v>
      </c>
    </row>
    <row r="31" spans="1:6" ht="18" customHeight="1" x14ac:dyDescent="0.15">
      <c r="A31" s="62" t="s">
        <v>728</v>
      </c>
      <c r="B31" s="62" t="s">
        <v>576</v>
      </c>
      <c r="C31" s="62" t="s">
        <v>729</v>
      </c>
      <c r="D31" s="62">
        <v>132</v>
      </c>
      <c r="E31" s="62" t="s">
        <v>726</v>
      </c>
      <c r="F31" s="62" t="s">
        <v>727</v>
      </c>
    </row>
    <row r="32" spans="1:6" ht="18" customHeight="1" x14ac:dyDescent="0.15">
      <c r="A32" s="62" t="s">
        <v>731</v>
      </c>
      <c r="B32" s="62" t="s">
        <v>574</v>
      </c>
      <c r="C32" s="62" t="s">
        <v>732</v>
      </c>
      <c r="D32" s="62">
        <v>94</v>
      </c>
      <c r="E32" s="62" t="s">
        <v>726</v>
      </c>
      <c r="F32" s="62" t="s">
        <v>727</v>
      </c>
    </row>
    <row r="33" spans="1:6" ht="18" customHeight="1" x14ac:dyDescent="0.15">
      <c r="A33" s="62" t="s">
        <v>735</v>
      </c>
      <c r="B33" s="62" t="s">
        <v>576</v>
      </c>
      <c r="C33" s="62" t="s">
        <v>736</v>
      </c>
      <c r="D33" s="62" t="s">
        <v>90</v>
      </c>
      <c r="E33" s="62"/>
      <c r="F33" s="62" t="s">
        <v>88</v>
      </c>
    </row>
    <row r="34" spans="1:6" ht="18" customHeight="1" x14ac:dyDescent="0.15">
      <c r="A34" s="62" t="s">
        <v>733</v>
      </c>
      <c r="B34" s="62" t="s">
        <v>574</v>
      </c>
      <c r="C34" s="62" t="s">
        <v>625</v>
      </c>
      <c r="D34" s="62">
        <v>113</v>
      </c>
      <c r="E34" s="62" t="s">
        <v>734</v>
      </c>
      <c r="F34" s="62" t="s">
        <v>727</v>
      </c>
    </row>
    <row r="35" spans="1:6" ht="18" customHeight="1" x14ac:dyDescent="0.15">
      <c r="A35" s="62" t="s">
        <v>737</v>
      </c>
      <c r="B35" s="62" t="s">
        <v>594</v>
      </c>
      <c r="C35" s="62" t="s">
        <v>56</v>
      </c>
      <c r="D35" s="62">
        <v>30</v>
      </c>
      <c r="E35" s="62" t="s">
        <v>738</v>
      </c>
      <c r="F35" s="62" t="s">
        <v>88</v>
      </c>
    </row>
    <row r="36" spans="1:6" ht="18" customHeight="1" x14ac:dyDescent="0.15">
      <c r="A36" s="62" t="s">
        <v>739</v>
      </c>
      <c r="B36" s="62" t="s">
        <v>576</v>
      </c>
      <c r="C36" s="62" t="s">
        <v>324</v>
      </c>
      <c r="D36" s="62">
        <v>233</v>
      </c>
      <c r="E36" s="62" t="s">
        <v>740</v>
      </c>
      <c r="F36" s="62" t="s">
        <v>727</v>
      </c>
    </row>
    <row r="37" spans="1:6" ht="18" customHeight="1" x14ac:dyDescent="0.15">
      <c r="A37" s="62" t="s">
        <v>741</v>
      </c>
      <c r="B37" s="62" t="s">
        <v>574</v>
      </c>
      <c r="C37" s="62" t="s">
        <v>324</v>
      </c>
      <c r="D37" s="62">
        <v>274</v>
      </c>
      <c r="E37" s="62" t="s">
        <v>740</v>
      </c>
      <c r="F37" s="62" t="s">
        <v>727</v>
      </c>
    </row>
    <row r="38" spans="1:6" ht="18" customHeight="1" x14ac:dyDescent="0.15">
      <c r="A38" s="62" t="s">
        <v>742</v>
      </c>
      <c r="B38" s="62" t="s">
        <v>638</v>
      </c>
      <c r="C38" s="62" t="s">
        <v>640</v>
      </c>
      <c r="D38" s="62">
        <v>154</v>
      </c>
      <c r="E38" s="62"/>
      <c r="F38" s="62" t="s">
        <v>88</v>
      </c>
    </row>
    <row r="39" spans="1:6" ht="18" customHeight="1" x14ac:dyDescent="0.15">
      <c r="A39" s="62" t="s">
        <v>743</v>
      </c>
      <c r="B39" s="62" t="s">
        <v>576</v>
      </c>
      <c r="C39" s="62" t="s">
        <v>744</v>
      </c>
      <c r="D39" s="62">
        <v>82</v>
      </c>
      <c r="E39" s="62"/>
      <c r="F39" s="62" t="s">
        <v>88</v>
      </c>
    </row>
    <row r="40" spans="1:6" ht="18" customHeight="1" x14ac:dyDescent="0.15">
      <c r="A40" s="62" t="s">
        <v>745</v>
      </c>
      <c r="B40" s="62" t="s">
        <v>619</v>
      </c>
      <c r="C40" s="62" t="s">
        <v>746</v>
      </c>
      <c r="D40" s="62">
        <v>202</v>
      </c>
      <c r="E40" s="62"/>
      <c r="F40" s="62" t="s">
        <v>747</v>
      </c>
    </row>
    <row r="41" spans="1:6" ht="18" customHeight="1" x14ac:dyDescent="0.15">
      <c r="A41" s="62" t="s">
        <v>745</v>
      </c>
      <c r="B41" s="62" t="s">
        <v>576</v>
      </c>
      <c r="C41" s="62" t="s">
        <v>746</v>
      </c>
      <c r="D41" s="62">
        <v>254</v>
      </c>
      <c r="E41" s="62"/>
      <c r="F41" s="62" t="s">
        <v>727</v>
      </c>
    </row>
    <row r="42" spans="1:6" ht="18" customHeight="1" x14ac:dyDescent="0.15">
      <c r="A42" s="62" t="s">
        <v>748</v>
      </c>
      <c r="B42" s="62" t="s">
        <v>594</v>
      </c>
      <c r="C42" s="62" t="s">
        <v>56</v>
      </c>
      <c r="D42" s="62">
        <v>46</v>
      </c>
      <c r="E42" s="62"/>
      <c r="F42" s="62" t="s">
        <v>88</v>
      </c>
    </row>
    <row r="43" spans="1:6" ht="18" customHeight="1" x14ac:dyDescent="0.15">
      <c r="A43" s="62" t="s">
        <v>749</v>
      </c>
      <c r="B43" s="62" t="s">
        <v>576</v>
      </c>
      <c r="C43" s="62" t="s">
        <v>750</v>
      </c>
      <c r="D43" s="62">
        <v>33</v>
      </c>
      <c r="E43" s="62"/>
      <c r="F43" s="62" t="s">
        <v>88</v>
      </c>
    </row>
    <row r="44" spans="1:6" ht="18" customHeight="1" x14ac:dyDescent="0.15">
      <c r="A44" s="62" t="s">
        <v>751</v>
      </c>
      <c r="B44" s="62" t="s">
        <v>576</v>
      </c>
      <c r="C44" s="62" t="s">
        <v>752</v>
      </c>
      <c r="D44" s="62">
        <v>61</v>
      </c>
      <c r="E44" s="62"/>
      <c r="F44" s="62" t="s">
        <v>88</v>
      </c>
    </row>
    <row r="45" spans="1:6" ht="18" customHeight="1" x14ac:dyDescent="0.15">
      <c r="A45" s="62" t="s">
        <v>753</v>
      </c>
      <c r="B45" s="62" t="s">
        <v>576</v>
      </c>
      <c r="C45" s="62" t="s">
        <v>754</v>
      </c>
      <c r="D45" s="62">
        <v>75</v>
      </c>
      <c r="E45" s="62"/>
      <c r="F45" s="62" t="s">
        <v>88</v>
      </c>
    </row>
    <row r="46" spans="1:6" ht="18" customHeight="1" x14ac:dyDescent="0.15">
      <c r="A46" s="62" t="s">
        <v>755</v>
      </c>
      <c r="B46" s="62" t="s">
        <v>574</v>
      </c>
      <c r="C46" s="62" t="s">
        <v>756</v>
      </c>
      <c r="D46" s="62">
        <v>167</v>
      </c>
      <c r="E46" s="62"/>
      <c r="F46" s="62" t="s">
        <v>727</v>
      </c>
    </row>
    <row r="47" spans="1:6" ht="18" customHeight="1" x14ac:dyDescent="0.15">
      <c r="A47" s="62" t="s">
        <v>757</v>
      </c>
      <c r="B47" s="62" t="s">
        <v>758</v>
      </c>
      <c r="C47" s="62" t="s">
        <v>759</v>
      </c>
      <c r="D47" s="62">
        <v>222</v>
      </c>
      <c r="E47" s="62"/>
      <c r="F47" s="62" t="s">
        <v>727</v>
      </c>
    </row>
    <row r="48" spans="1:6" ht="18" customHeight="1" x14ac:dyDescent="0.15">
      <c r="A48" s="62" t="s">
        <v>760</v>
      </c>
      <c r="B48" s="62" t="s">
        <v>576</v>
      </c>
      <c r="C48" s="62" t="s">
        <v>761</v>
      </c>
      <c r="D48" s="62">
        <v>385</v>
      </c>
      <c r="E48" s="62"/>
      <c r="F48" s="62" t="s">
        <v>727</v>
      </c>
    </row>
    <row r="49" spans="1:6" ht="18" customHeight="1" x14ac:dyDescent="0.15">
      <c r="A49" s="62" t="s">
        <v>762</v>
      </c>
      <c r="B49" s="62" t="s">
        <v>574</v>
      </c>
      <c r="C49" s="62" t="s">
        <v>763</v>
      </c>
      <c r="D49" s="62">
        <v>47</v>
      </c>
      <c r="E49" s="62"/>
      <c r="F49" s="62" t="s">
        <v>88</v>
      </c>
    </row>
    <row r="50" spans="1:6" ht="18" customHeight="1" x14ac:dyDescent="0.15">
      <c r="A50" s="62" t="s">
        <v>764</v>
      </c>
      <c r="B50" s="62" t="s">
        <v>574</v>
      </c>
      <c r="C50" s="62" t="s">
        <v>761</v>
      </c>
      <c r="D50" s="62">
        <v>459</v>
      </c>
      <c r="E50" s="62"/>
      <c r="F50" s="62" t="s">
        <v>727</v>
      </c>
    </row>
    <row r="51" spans="1:6" ht="18" customHeight="1" x14ac:dyDescent="0.15">
      <c r="A51" s="62" t="s">
        <v>765</v>
      </c>
      <c r="B51" s="62" t="s">
        <v>758</v>
      </c>
      <c r="C51" s="62" t="s">
        <v>759</v>
      </c>
      <c r="D51" s="62">
        <v>180</v>
      </c>
      <c r="E51" s="62"/>
      <c r="F51" s="62" t="s">
        <v>727</v>
      </c>
    </row>
    <row r="52" spans="1:6" ht="18" customHeight="1" x14ac:dyDescent="0.15">
      <c r="A52" s="62" t="s">
        <v>766</v>
      </c>
      <c r="B52" s="62" t="s">
        <v>638</v>
      </c>
      <c r="C52" s="62" t="s">
        <v>767</v>
      </c>
      <c r="D52" s="62" t="s">
        <v>535</v>
      </c>
      <c r="E52" s="62"/>
      <c r="F52" s="62" t="s">
        <v>88</v>
      </c>
    </row>
    <row r="53" spans="1:6" ht="18" customHeight="1" x14ac:dyDescent="0.15">
      <c r="A53" s="62" t="s">
        <v>768</v>
      </c>
      <c r="B53" s="62" t="s">
        <v>576</v>
      </c>
      <c r="C53" s="62" t="s">
        <v>769</v>
      </c>
      <c r="D53" s="62">
        <v>102</v>
      </c>
      <c r="E53" s="62"/>
      <c r="F53" s="62" t="s">
        <v>727</v>
      </c>
    </row>
    <row r="54" spans="1:6" ht="18" customHeight="1" x14ac:dyDescent="0.15">
      <c r="A54" s="62" t="s">
        <v>770</v>
      </c>
      <c r="B54" s="62" t="s">
        <v>576</v>
      </c>
      <c r="C54" s="62" t="s">
        <v>771</v>
      </c>
      <c r="D54" s="62">
        <v>139</v>
      </c>
      <c r="E54" s="62"/>
      <c r="F54" s="62" t="s">
        <v>727</v>
      </c>
    </row>
    <row r="55" spans="1:6" ht="18" customHeight="1" x14ac:dyDescent="0.15">
      <c r="A55" s="62" t="s">
        <v>772</v>
      </c>
      <c r="B55" s="62" t="s">
        <v>576</v>
      </c>
      <c r="C55" s="62" t="s">
        <v>773</v>
      </c>
      <c r="D55" s="62">
        <v>26</v>
      </c>
      <c r="E55" s="62"/>
      <c r="F55" s="62" t="s">
        <v>88</v>
      </c>
    </row>
    <row r="56" spans="1:6" ht="18" customHeight="1" x14ac:dyDescent="0.15">
      <c r="A56" s="62" t="s">
        <v>785</v>
      </c>
      <c r="B56" s="62" t="s">
        <v>594</v>
      </c>
      <c r="C56" s="62" t="s">
        <v>532</v>
      </c>
      <c r="D56" s="62">
        <v>125</v>
      </c>
      <c r="E56" s="62"/>
      <c r="F56" s="62" t="s">
        <v>88</v>
      </c>
    </row>
    <row r="57" spans="1:6" ht="18" customHeight="1" x14ac:dyDescent="0.15">
      <c r="A57" s="62" t="s">
        <v>774</v>
      </c>
      <c r="B57" s="62" t="s">
        <v>576</v>
      </c>
      <c r="C57" s="62" t="s">
        <v>775</v>
      </c>
      <c r="D57" s="62">
        <v>217</v>
      </c>
      <c r="E57" s="62"/>
      <c r="F57" s="62" t="s">
        <v>727</v>
      </c>
    </row>
    <row r="58" spans="1:6" ht="18" customHeight="1" x14ac:dyDescent="0.15">
      <c r="A58" s="62" t="s">
        <v>776</v>
      </c>
      <c r="B58" s="62" t="s">
        <v>576</v>
      </c>
      <c r="C58" s="62" t="s">
        <v>640</v>
      </c>
      <c r="D58" s="62">
        <v>294</v>
      </c>
      <c r="E58" s="62" t="s">
        <v>227</v>
      </c>
      <c r="F58" s="62" t="s">
        <v>727</v>
      </c>
    </row>
    <row r="59" spans="1:6" ht="18" customHeight="1" x14ac:dyDescent="0.15">
      <c r="A59" s="62" t="s">
        <v>777</v>
      </c>
      <c r="B59" s="62" t="s">
        <v>778</v>
      </c>
      <c r="C59" s="62" t="s">
        <v>779</v>
      </c>
      <c r="D59" s="62">
        <v>238</v>
      </c>
      <c r="E59" s="62" t="s">
        <v>227</v>
      </c>
      <c r="F59" s="62" t="s">
        <v>727</v>
      </c>
    </row>
    <row r="60" spans="1:6" ht="18" customHeight="1" x14ac:dyDescent="0.15">
      <c r="A60" s="62" t="s">
        <v>777</v>
      </c>
      <c r="B60" s="65" t="s">
        <v>671</v>
      </c>
      <c r="C60" s="62" t="s">
        <v>775</v>
      </c>
      <c r="D60" s="62">
        <v>289</v>
      </c>
      <c r="E60" s="62" t="s">
        <v>227</v>
      </c>
      <c r="F60" s="62" t="s">
        <v>727</v>
      </c>
    </row>
    <row r="61" spans="1:6" ht="18" customHeight="1" x14ac:dyDescent="0.15">
      <c r="A61" s="62" t="s">
        <v>780</v>
      </c>
      <c r="B61" s="64" t="s">
        <v>781</v>
      </c>
      <c r="C61" s="62" t="s">
        <v>782</v>
      </c>
      <c r="D61" s="62">
        <v>61</v>
      </c>
      <c r="E61" s="62" t="s">
        <v>227</v>
      </c>
      <c r="F61" s="62" t="s">
        <v>727</v>
      </c>
    </row>
    <row r="62" spans="1:6" ht="18" customHeight="1" x14ac:dyDescent="0.15">
      <c r="A62" s="62" t="s">
        <v>780</v>
      </c>
      <c r="B62" s="62" t="s">
        <v>576</v>
      </c>
      <c r="C62" s="62" t="s">
        <v>779</v>
      </c>
      <c r="D62" s="62">
        <v>115</v>
      </c>
      <c r="E62" s="62"/>
      <c r="F62" s="62" t="s">
        <v>727</v>
      </c>
    </row>
    <row r="63" spans="1:6" ht="18" customHeight="1" x14ac:dyDescent="0.15">
      <c r="A63" s="62" t="s">
        <v>783</v>
      </c>
      <c r="B63" s="62" t="s">
        <v>576</v>
      </c>
      <c r="C63" s="62" t="s">
        <v>784</v>
      </c>
      <c r="D63" s="62">
        <v>156</v>
      </c>
      <c r="E63" s="62"/>
      <c r="F63" s="62" t="s">
        <v>727</v>
      </c>
    </row>
    <row r="64" spans="1:6" ht="18" customHeight="1" x14ac:dyDescent="0.15">
      <c r="A64" s="62" t="s">
        <v>786</v>
      </c>
      <c r="B64" s="62" t="s">
        <v>608</v>
      </c>
      <c r="C64" s="62" t="s">
        <v>56</v>
      </c>
      <c r="D64" s="62">
        <v>82</v>
      </c>
      <c r="E64" s="62"/>
      <c r="F64" s="62" t="s">
        <v>88</v>
      </c>
    </row>
    <row r="65" spans="1:6" ht="18" customHeight="1" x14ac:dyDescent="0.15">
      <c r="A65" s="62" t="s">
        <v>787</v>
      </c>
      <c r="B65" s="62" t="s">
        <v>608</v>
      </c>
      <c r="C65" s="62" t="s">
        <v>56</v>
      </c>
      <c r="D65" s="62">
        <v>67</v>
      </c>
      <c r="E65" s="62"/>
      <c r="F65" s="62" t="s">
        <v>88</v>
      </c>
    </row>
    <row r="66" spans="1:6" ht="18" customHeight="1" x14ac:dyDescent="0.15">
      <c r="A66" s="62"/>
      <c r="B66" s="62"/>
      <c r="C66" s="62"/>
      <c r="D66" s="62"/>
      <c r="E66" s="62"/>
      <c r="F66" s="62"/>
    </row>
    <row r="67" spans="1:6" ht="18" customHeight="1" x14ac:dyDescent="0.15">
      <c r="A67" s="62"/>
      <c r="B67" s="62"/>
      <c r="C67" s="62"/>
      <c r="D67" s="62"/>
      <c r="E67" s="62"/>
      <c r="F67" s="62"/>
    </row>
    <row r="68" spans="1:6" ht="18" customHeight="1" x14ac:dyDescent="0.15">
      <c r="A68" s="62"/>
      <c r="B68" s="62"/>
      <c r="C68" s="62"/>
      <c r="D68" s="62"/>
      <c r="E68" s="62"/>
      <c r="F68" s="62"/>
    </row>
    <row r="69" spans="1:6" ht="18" customHeight="1" x14ac:dyDescent="0.15">
      <c r="A69" s="62"/>
      <c r="B69" s="62"/>
      <c r="C69" s="62"/>
      <c r="D69" s="62"/>
      <c r="E69" s="62"/>
      <c r="F69" s="62"/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F59"/>
  <sheetViews>
    <sheetView view="pageLayout" topLeftCell="A35" zoomScale="127" zoomScaleNormal="100" zoomScalePageLayoutView="127" workbookViewId="0">
      <selection activeCell="D17" sqref="D17:D18"/>
    </sheetView>
  </sheetViews>
  <sheetFormatPr baseColWidth="10" defaultColWidth="10.6640625" defaultRowHeight="13" x14ac:dyDescent="0.15"/>
  <cols>
    <col min="1" max="1" width="9.5" style="48" customWidth="1"/>
    <col min="2" max="2" width="10.6640625" style="48"/>
    <col min="3" max="3" width="21" style="48" customWidth="1"/>
    <col min="4" max="16384" width="10.6640625" style="48"/>
  </cols>
  <sheetData>
    <row r="1" spans="1:6" ht="14" x14ac:dyDescent="0.15">
      <c r="A1" s="49" t="s">
        <v>293</v>
      </c>
      <c r="B1" s="50" t="s">
        <v>294</v>
      </c>
      <c r="C1" s="51" t="s">
        <v>229</v>
      </c>
      <c r="D1" s="52" t="s">
        <v>230</v>
      </c>
      <c r="E1" s="51" t="s">
        <v>152</v>
      </c>
      <c r="F1" s="51" t="s">
        <v>86</v>
      </c>
    </row>
    <row r="2" spans="1:6" x14ac:dyDescent="0.15">
      <c r="A2" s="48" t="s">
        <v>573</v>
      </c>
      <c r="B2" s="48" t="s">
        <v>574</v>
      </c>
      <c r="C2" s="48" t="s">
        <v>250</v>
      </c>
      <c r="D2" s="48">
        <v>125</v>
      </c>
      <c r="F2" s="48" t="s">
        <v>87</v>
      </c>
    </row>
    <row r="3" spans="1:6" x14ac:dyDescent="0.15">
      <c r="A3" s="48" t="s">
        <v>575</v>
      </c>
      <c r="B3" s="48" t="s">
        <v>576</v>
      </c>
      <c r="C3" s="48" t="s">
        <v>577</v>
      </c>
      <c r="D3" s="48">
        <v>225</v>
      </c>
      <c r="F3" s="48" t="s">
        <v>87</v>
      </c>
    </row>
    <row r="4" spans="1:6" x14ac:dyDescent="0.15">
      <c r="A4" s="48" t="s">
        <v>578</v>
      </c>
      <c r="B4" s="48" t="s">
        <v>574</v>
      </c>
      <c r="C4" s="48" t="s">
        <v>579</v>
      </c>
      <c r="D4" s="48">
        <v>142</v>
      </c>
      <c r="E4" s="48" t="s">
        <v>580</v>
      </c>
      <c r="F4" s="48" t="s">
        <v>87</v>
      </c>
    </row>
    <row r="5" spans="1:6" x14ac:dyDescent="0.15">
      <c r="A5" s="48" t="s">
        <v>581</v>
      </c>
      <c r="B5" s="48" t="s">
        <v>576</v>
      </c>
      <c r="C5" s="48" t="s">
        <v>582</v>
      </c>
      <c r="D5" s="48">
        <v>129</v>
      </c>
      <c r="E5" s="48" t="s">
        <v>583</v>
      </c>
      <c r="F5" s="48" t="s">
        <v>87</v>
      </c>
    </row>
    <row r="6" spans="1:6" x14ac:dyDescent="0.15">
      <c r="A6" s="48" t="s">
        <v>584</v>
      </c>
      <c r="B6" s="48" t="s">
        <v>576</v>
      </c>
      <c r="C6" s="48" t="s">
        <v>585</v>
      </c>
      <c r="D6" s="48">
        <v>294</v>
      </c>
      <c r="F6" s="48" t="s">
        <v>87</v>
      </c>
    </row>
    <row r="7" spans="1:6" x14ac:dyDescent="0.15">
      <c r="A7" s="48" t="s">
        <v>586</v>
      </c>
      <c r="B7" s="48" t="s">
        <v>574</v>
      </c>
      <c r="C7" s="48" t="s">
        <v>585</v>
      </c>
      <c r="D7" s="48">
        <v>261</v>
      </c>
      <c r="E7" s="48">
        <f>D6+D7</f>
        <v>555</v>
      </c>
      <c r="F7" s="48" t="s">
        <v>87</v>
      </c>
    </row>
    <row r="8" spans="1:6" x14ac:dyDescent="0.15">
      <c r="A8" s="48" t="s">
        <v>587</v>
      </c>
      <c r="B8" s="48" t="s">
        <v>576</v>
      </c>
      <c r="C8" s="48" t="s">
        <v>588</v>
      </c>
      <c r="D8" s="48">
        <v>189</v>
      </c>
      <c r="E8" s="48" t="s">
        <v>589</v>
      </c>
      <c r="F8" s="48" t="s">
        <v>87</v>
      </c>
    </row>
    <row r="9" spans="1:6" x14ac:dyDescent="0.15">
      <c r="A9" s="48" t="s">
        <v>590</v>
      </c>
      <c r="B9" s="48" t="s">
        <v>576</v>
      </c>
      <c r="C9" s="48" t="s">
        <v>74</v>
      </c>
      <c r="D9" s="54" t="s">
        <v>591</v>
      </c>
      <c r="E9" s="48" t="s">
        <v>592</v>
      </c>
      <c r="F9" s="48" t="s">
        <v>87</v>
      </c>
    </row>
    <row r="10" spans="1:6" x14ac:dyDescent="0.15">
      <c r="A10" s="48" t="s">
        <v>593</v>
      </c>
      <c r="B10" s="48" t="s">
        <v>594</v>
      </c>
      <c r="C10" s="48" t="s">
        <v>56</v>
      </c>
      <c r="D10" s="48">
        <v>71</v>
      </c>
      <c r="F10" s="48" t="s">
        <v>88</v>
      </c>
    </row>
    <row r="11" spans="1:6" x14ac:dyDescent="0.15">
      <c r="A11" s="48" t="s">
        <v>595</v>
      </c>
      <c r="B11" s="48" t="s">
        <v>576</v>
      </c>
      <c r="C11" s="48" t="s">
        <v>596</v>
      </c>
      <c r="D11" s="48">
        <v>252</v>
      </c>
      <c r="F11" s="48" t="s">
        <v>87</v>
      </c>
    </row>
    <row r="12" spans="1:6" x14ac:dyDescent="0.15">
      <c r="A12" s="48" t="s">
        <v>597</v>
      </c>
      <c r="B12" s="48" t="s">
        <v>576</v>
      </c>
      <c r="C12" s="48" t="s">
        <v>382</v>
      </c>
      <c r="D12" s="48">
        <v>80</v>
      </c>
      <c r="F12" s="48" t="s">
        <v>87</v>
      </c>
    </row>
    <row r="13" spans="1:6" x14ac:dyDescent="0.15">
      <c r="A13" s="48" t="s">
        <v>598</v>
      </c>
      <c r="B13" s="48" t="s">
        <v>576</v>
      </c>
      <c r="C13" s="48" t="s">
        <v>599</v>
      </c>
      <c r="D13" s="48">
        <v>220</v>
      </c>
      <c r="F13" s="48" t="s">
        <v>88</v>
      </c>
    </row>
    <row r="14" spans="1:6" x14ac:dyDescent="0.15">
      <c r="A14" s="48" t="s">
        <v>600</v>
      </c>
      <c r="B14" s="48" t="s">
        <v>574</v>
      </c>
      <c r="C14" s="48" t="s">
        <v>382</v>
      </c>
      <c r="D14" s="48">
        <v>190</v>
      </c>
      <c r="F14" s="48" t="s">
        <v>87</v>
      </c>
    </row>
    <row r="15" spans="1:6" x14ac:dyDescent="0.15">
      <c r="A15" s="48" t="s">
        <v>601</v>
      </c>
      <c r="B15" s="48" t="s">
        <v>576</v>
      </c>
      <c r="C15" s="48" t="s">
        <v>571</v>
      </c>
      <c r="D15" s="48">
        <v>75</v>
      </c>
      <c r="F15" s="48" t="s">
        <v>88</v>
      </c>
    </row>
    <row r="16" spans="1:6" x14ac:dyDescent="0.15">
      <c r="A16" s="48" t="s">
        <v>602</v>
      </c>
      <c r="B16" s="48" t="s">
        <v>576</v>
      </c>
      <c r="C16" s="48" t="s">
        <v>603</v>
      </c>
      <c r="D16" s="48">
        <v>138</v>
      </c>
      <c r="F16" s="48" t="s">
        <v>88</v>
      </c>
    </row>
    <row r="17" spans="1:6" x14ac:dyDescent="0.15">
      <c r="A17" s="48" t="s">
        <v>604</v>
      </c>
      <c r="B17" s="48" t="s">
        <v>576</v>
      </c>
      <c r="C17" s="48" t="s">
        <v>392</v>
      </c>
      <c r="D17" s="48">
        <v>280</v>
      </c>
      <c r="F17" s="48" t="s">
        <v>87</v>
      </c>
    </row>
    <row r="18" spans="1:6" x14ac:dyDescent="0.15">
      <c r="A18" s="48" t="s">
        <v>605</v>
      </c>
      <c r="B18" s="48" t="s">
        <v>574</v>
      </c>
      <c r="C18" s="48" t="s">
        <v>392</v>
      </c>
      <c r="D18" s="48">
        <v>234</v>
      </c>
      <c r="F18" s="48" t="s">
        <v>87</v>
      </c>
    </row>
    <row r="19" spans="1:6" x14ac:dyDescent="0.15">
      <c r="A19" s="48" t="s">
        <v>606</v>
      </c>
      <c r="B19" s="48" t="s">
        <v>576</v>
      </c>
      <c r="C19" s="48" t="s">
        <v>484</v>
      </c>
      <c r="D19" s="48">
        <v>149</v>
      </c>
      <c r="F19" s="48" t="s">
        <v>87</v>
      </c>
    </row>
    <row r="20" spans="1:6" x14ac:dyDescent="0.15">
      <c r="A20" s="48" t="s">
        <v>607</v>
      </c>
      <c r="B20" s="48" t="s">
        <v>608</v>
      </c>
      <c r="C20" s="48" t="s">
        <v>56</v>
      </c>
      <c r="D20" s="54" t="s">
        <v>611</v>
      </c>
      <c r="F20" s="48" t="s">
        <v>88</v>
      </c>
    </row>
    <row r="21" spans="1:6" x14ac:dyDescent="0.15">
      <c r="A21" s="48" t="s">
        <v>609</v>
      </c>
      <c r="B21" s="48" t="s">
        <v>608</v>
      </c>
      <c r="C21" s="48" t="s">
        <v>56</v>
      </c>
      <c r="D21" s="48">
        <v>73</v>
      </c>
      <c r="F21" s="48" t="s">
        <v>88</v>
      </c>
    </row>
    <row r="22" spans="1:6" x14ac:dyDescent="0.15">
      <c r="A22" s="48" t="s">
        <v>676</v>
      </c>
      <c r="C22" s="48" t="s">
        <v>677</v>
      </c>
      <c r="D22" s="48">
        <v>288</v>
      </c>
      <c r="F22" s="48" t="s">
        <v>87</v>
      </c>
    </row>
    <row r="23" spans="1:6" x14ac:dyDescent="0.15">
      <c r="A23" s="53" t="s">
        <v>610</v>
      </c>
    </row>
    <row r="25" spans="1:6" x14ac:dyDescent="0.15">
      <c r="A25" s="48" t="s">
        <v>612</v>
      </c>
      <c r="B25" s="48" t="s">
        <v>576</v>
      </c>
      <c r="C25" s="48" t="s">
        <v>613</v>
      </c>
      <c r="D25" s="48">
        <v>152</v>
      </c>
      <c r="F25" s="48" t="s">
        <v>87</v>
      </c>
    </row>
    <row r="26" spans="1:6" x14ac:dyDescent="0.15">
      <c r="A26" s="48" t="s">
        <v>614</v>
      </c>
      <c r="B26" s="48" t="s">
        <v>576</v>
      </c>
      <c r="C26" s="48" t="s">
        <v>615</v>
      </c>
      <c r="D26" s="48">
        <v>147</v>
      </c>
      <c r="E26" s="48" t="s">
        <v>628</v>
      </c>
      <c r="F26" s="48" t="s">
        <v>87</v>
      </c>
    </row>
    <row r="27" spans="1:6" x14ac:dyDescent="0.15">
      <c r="A27" s="48" t="s">
        <v>616</v>
      </c>
      <c r="B27" s="48" t="s">
        <v>574</v>
      </c>
      <c r="C27" s="48" t="s">
        <v>617</v>
      </c>
      <c r="D27" s="48">
        <v>62</v>
      </c>
      <c r="F27" s="48" t="s">
        <v>87</v>
      </c>
    </row>
    <row r="28" spans="1:6" x14ac:dyDescent="0.15">
      <c r="A28" s="48" t="s">
        <v>678</v>
      </c>
      <c r="C28" s="48" t="s">
        <v>679</v>
      </c>
      <c r="D28" s="48">
        <v>458</v>
      </c>
      <c r="F28" s="48" t="s">
        <v>87</v>
      </c>
    </row>
    <row r="29" spans="1:6" x14ac:dyDescent="0.15">
      <c r="A29" s="48" t="s">
        <v>618</v>
      </c>
      <c r="B29" s="48" t="s">
        <v>619</v>
      </c>
      <c r="C29" s="48" t="s">
        <v>620</v>
      </c>
      <c r="D29" s="48" t="s">
        <v>90</v>
      </c>
      <c r="F29" s="48" t="s">
        <v>88</v>
      </c>
    </row>
    <row r="30" spans="1:6" x14ac:dyDescent="0.15">
      <c r="A30" s="48" t="s">
        <v>618</v>
      </c>
      <c r="B30" s="48" t="s">
        <v>576</v>
      </c>
      <c r="C30" s="48" t="s">
        <v>621</v>
      </c>
      <c r="D30" s="48">
        <v>76</v>
      </c>
      <c r="E30" s="48" t="s">
        <v>626</v>
      </c>
      <c r="F30" s="48" t="s">
        <v>88</v>
      </c>
    </row>
    <row r="31" spans="1:6" x14ac:dyDescent="0.15">
      <c r="A31" s="48" t="s">
        <v>622</v>
      </c>
      <c r="B31" s="48" t="s">
        <v>574</v>
      </c>
      <c r="C31" s="48" t="s">
        <v>623</v>
      </c>
      <c r="D31" s="48">
        <v>169</v>
      </c>
      <c r="E31" s="48" t="s">
        <v>627</v>
      </c>
      <c r="F31" s="48" t="s">
        <v>87</v>
      </c>
    </row>
    <row r="32" spans="1:6" x14ac:dyDescent="0.15">
      <c r="A32" s="48" t="s">
        <v>624</v>
      </c>
      <c r="B32" s="48" t="s">
        <v>576</v>
      </c>
      <c r="C32" s="48" t="s">
        <v>625</v>
      </c>
      <c r="D32" s="48">
        <v>275</v>
      </c>
      <c r="E32" s="48" t="s">
        <v>631</v>
      </c>
      <c r="F32" s="48" t="s">
        <v>87</v>
      </c>
    </row>
    <row r="33" spans="1:6" x14ac:dyDescent="0.15">
      <c r="A33" s="48" t="s">
        <v>629</v>
      </c>
      <c r="B33" s="48" t="s">
        <v>576</v>
      </c>
      <c r="C33" s="48" t="s">
        <v>630</v>
      </c>
      <c r="D33" s="48">
        <v>260</v>
      </c>
      <c r="E33" s="48" t="s">
        <v>631</v>
      </c>
      <c r="F33" s="48" t="s">
        <v>87</v>
      </c>
    </row>
    <row r="34" spans="1:6" x14ac:dyDescent="0.15">
      <c r="A34" s="48" t="s">
        <v>632</v>
      </c>
      <c r="B34" s="48" t="s">
        <v>576</v>
      </c>
      <c r="C34" s="48" t="s">
        <v>633</v>
      </c>
      <c r="D34" s="48">
        <v>95</v>
      </c>
      <c r="E34" s="48" t="s">
        <v>631</v>
      </c>
      <c r="F34" s="48" t="s">
        <v>87</v>
      </c>
    </row>
    <row r="35" spans="1:6" x14ac:dyDescent="0.15">
      <c r="A35" s="48" t="s">
        <v>634</v>
      </c>
      <c r="B35" s="48" t="s">
        <v>574</v>
      </c>
      <c r="C35" s="48" t="s">
        <v>630</v>
      </c>
      <c r="D35" s="48">
        <v>306</v>
      </c>
      <c r="E35" s="48" t="s">
        <v>631</v>
      </c>
      <c r="F35" s="48" t="s">
        <v>87</v>
      </c>
    </row>
    <row r="36" spans="1:6" x14ac:dyDescent="0.15">
      <c r="A36" s="48" t="s">
        <v>635</v>
      </c>
      <c r="B36" s="48" t="s">
        <v>594</v>
      </c>
      <c r="C36" s="48" t="s">
        <v>56</v>
      </c>
      <c r="D36" s="48" t="s">
        <v>90</v>
      </c>
      <c r="F36" s="48" t="s">
        <v>88</v>
      </c>
    </row>
    <row r="37" spans="1:6" x14ac:dyDescent="0.15">
      <c r="A37" s="48" t="s">
        <v>636</v>
      </c>
      <c r="B37" s="48" t="s">
        <v>576</v>
      </c>
      <c r="C37" s="48" t="s">
        <v>639</v>
      </c>
      <c r="D37" s="48">
        <v>95</v>
      </c>
      <c r="F37" s="48" t="s">
        <v>87</v>
      </c>
    </row>
    <row r="38" spans="1:6" x14ac:dyDescent="0.15">
      <c r="A38" s="48" t="s">
        <v>637</v>
      </c>
      <c r="B38" s="48" t="s">
        <v>638</v>
      </c>
      <c r="C38" s="48" t="s">
        <v>640</v>
      </c>
      <c r="D38" s="48" t="s">
        <v>641</v>
      </c>
      <c r="F38" s="48" t="s">
        <v>88</v>
      </c>
    </row>
    <row r="39" spans="1:6" x14ac:dyDescent="0.15">
      <c r="A39" s="48" t="s">
        <v>642</v>
      </c>
      <c r="B39" s="48" t="s">
        <v>576</v>
      </c>
      <c r="C39" s="48" t="s">
        <v>643</v>
      </c>
      <c r="D39" s="48">
        <v>209</v>
      </c>
      <c r="E39" s="48" t="s">
        <v>631</v>
      </c>
      <c r="F39" s="48" t="s">
        <v>87</v>
      </c>
    </row>
    <row r="40" spans="1:6" x14ac:dyDescent="0.15">
      <c r="A40" s="48" t="s">
        <v>644</v>
      </c>
      <c r="B40" s="48" t="s">
        <v>594</v>
      </c>
      <c r="C40" s="48" t="s">
        <v>56</v>
      </c>
      <c r="D40" s="48">
        <v>50</v>
      </c>
      <c r="E40" s="48" t="s">
        <v>631</v>
      </c>
      <c r="F40" s="48" t="s">
        <v>88</v>
      </c>
    </row>
    <row r="41" spans="1:6" x14ac:dyDescent="0.15">
      <c r="A41" s="48" t="s">
        <v>645</v>
      </c>
      <c r="B41" s="48" t="s">
        <v>576</v>
      </c>
      <c r="C41" s="48" t="s">
        <v>646</v>
      </c>
      <c r="D41" s="48">
        <v>35</v>
      </c>
      <c r="F41" s="48" t="s">
        <v>88</v>
      </c>
    </row>
    <row r="42" spans="1:6" x14ac:dyDescent="0.15">
      <c r="A42" s="48" t="s">
        <v>647</v>
      </c>
      <c r="B42" s="48" t="s">
        <v>576</v>
      </c>
      <c r="C42" s="48" t="s">
        <v>648</v>
      </c>
      <c r="D42" s="48" t="s">
        <v>90</v>
      </c>
      <c r="F42" s="48" t="s">
        <v>88</v>
      </c>
    </row>
    <row r="43" spans="1:6" x14ac:dyDescent="0.15">
      <c r="A43" s="48" t="s">
        <v>649</v>
      </c>
      <c r="B43" s="48" t="s">
        <v>650</v>
      </c>
      <c r="C43" s="48" t="s">
        <v>651</v>
      </c>
      <c r="D43" s="48">
        <v>50</v>
      </c>
      <c r="F43" s="48" t="s">
        <v>88</v>
      </c>
    </row>
    <row r="44" spans="1:6" x14ac:dyDescent="0.15">
      <c r="A44" s="48" t="s">
        <v>649</v>
      </c>
      <c r="B44" s="48" t="s">
        <v>574</v>
      </c>
      <c r="C44" s="48" t="s">
        <v>652</v>
      </c>
      <c r="D44" s="48">
        <v>200</v>
      </c>
      <c r="E44" s="48" t="s">
        <v>653</v>
      </c>
      <c r="F44" s="48" t="s">
        <v>87</v>
      </c>
    </row>
    <row r="45" spans="1:6" x14ac:dyDescent="0.15">
      <c r="A45" s="55" t="s">
        <v>654</v>
      </c>
      <c r="B45" s="48" t="s">
        <v>576</v>
      </c>
      <c r="C45" s="48" t="s">
        <v>655</v>
      </c>
      <c r="D45" s="48">
        <v>375</v>
      </c>
      <c r="E45" s="48" t="s">
        <v>658</v>
      </c>
      <c r="F45" s="48" t="s">
        <v>87</v>
      </c>
    </row>
    <row r="46" spans="1:6" x14ac:dyDescent="0.15">
      <c r="A46" s="48" t="s">
        <v>656</v>
      </c>
      <c r="B46" s="48" t="s">
        <v>574</v>
      </c>
      <c r="C46" s="48" t="s">
        <v>655</v>
      </c>
      <c r="D46" s="48">
        <v>420</v>
      </c>
      <c r="E46" s="48" t="s">
        <v>657</v>
      </c>
      <c r="F46" s="48" t="s">
        <v>87</v>
      </c>
    </row>
    <row r="47" spans="1:6" x14ac:dyDescent="0.15">
      <c r="A47" s="48" t="s">
        <v>659</v>
      </c>
      <c r="B47" s="48" t="s">
        <v>576</v>
      </c>
      <c r="C47" s="48" t="s">
        <v>660</v>
      </c>
      <c r="D47" s="48">
        <v>37</v>
      </c>
      <c r="F47" s="48" t="s">
        <v>87</v>
      </c>
    </row>
    <row r="48" spans="1:6" x14ac:dyDescent="0.15">
      <c r="A48" s="48" t="s">
        <v>661</v>
      </c>
      <c r="B48" s="48" t="s">
        <v>576</v>
      </c>
      <c r="C48" s="48" t="s">
        <v>662</v>
      </c>
      <c r="D48" s="48">
        <v>58</v>
      </c>
      <c r="F48" s="48" t="s">
        <v>88</v>
      </c>
    </row>
    <row r="49" spans="1:6" x14ac:dyDescent="0.15">
      <c r="A49" s="48" t="s">
        <v>663</v>
      </c>
      <c r="B49" s="48" t="s">
        <v>574</v>
      </c>
      <c r="C49" s="48" t="s">
        <v>664</v>
      </c>
      <c r="D49" s="48">
        <v>88</v>
      </c>
      <c r="F49" s="48" t="s">
        <v>87</v>
      </c>
    </row>
    <row r="50" spans="1:6" x14ac:dyDescent="0.15">
      <c r="A50" s="48" t="s">
        <v>665</v>
      </c>
      <c r="B50" s="48" t="s">
        <v>594</v>
      </c>
      <c r="C50" s="48" t="s">
        <v>571</v>
      </c>
      <c r="D50" s="48">
        <v>84</v>
      </c>
      <c r="F50" s="48" t="s">
        <v>88</v>
      </c>
    </row>
    <row r="51" spans="1:6" x14ac:dyDescent="0.15">
      <c r="A51" s="48" t="s">
        <v>666</v>
      </c>
      <c r="B51" s="48" t="s">
        <v>576</v>
      </c>
      <c r="C51" s="48" t="s">
        <v>667</v>
      </c>
      <c r="D51" s="48">
        <v>160</v>
      </c>
      <c r="F51" s="48" t="s">
        <v>88</v>
      </c>
    </row>
    <row r="52" spans="1:6" x14ac:dyDescent="0.15">
      <c r="A52" s="48" t="s">
        <v>668</v>
      </c>
      <c r="B52" s="48" t="s">
        <v>576</v>
      </c>
      <c r="C52" s="48" t="s">
        <v>479</v>
      </c>
      <c r="D52" s="48">
        <v>100</v>
      </c>
      <c r="F52" s="48" t="s">
        <v>87</v>
      </c>
    </row>
    <row r="53" spans="1:6" x14ac:dyDescent="0.15">
      <c r="A53" s="48" t="s">
        <v>669</v>
      </c>
      <c r="B53" s="48" t="s">
        <v>576</v>
      </c>
      <c r="C53" s="48" t="s">
        <v>640</v>
      </c>
      <c r="D53" s="48">
        <v>140</v>
      </c>
      <c r="F53" s="48" t="s">
        <v>88</v>
      </c>
    </row>
    <row r="54" spans="1:6" x14ac:dyDescent="0.15">
      <c r="A54" s="48" t="s">
        <v>670</v>
      </c>
      <c r="B54" s="56">
        <v>0.47916666666666669</v>
      </c>
      <c r="C54" s="48" t="s">
        <v>382</v>
      </c>
      <c r="D54" s="48">
        <v>221</v>
      </c>
      <c r="E54" s="48" t="s">
        <v>227</v>
      </c>
      <c r="F54" s="48" t="s">
        <v>87</v>
      </c>
    </row>
    <row r="55" spans="1:6" x14ac:dyDescent="0.15">
      <c r="A55" s="48" t="s">
        <v>670</v>
      </c>
      <c r="B55" s="48" t="s">
        <v>671</v>
      </c>
      <c r="C55" s="48" t="s">
        <v>479</v>
      </c>
      <c r="D55" s="48">
        <v>359</v>
      </c>
      <c r="E55" s="48" t="s">
        <v>227</v>
      </c>
      <c r="F55" s="48" t="s">
        <v>87</v>
      </c>
    </row>
    <row r="56" spans="1:6" x14ac:dyDescent="0.15">
      <c r="A56" s="48" t="s">
        <v>672</v>
      </c>
      <c r="B56" s="48" t="s">
        <v>576</v>
      </c>
      <c r="C56" s="48" t="s">
        <v>382</v>
      </c>
      <c r="D56" s="48">
        <v>90</v>
      </c>
      <c r="F56" s="48" t="s">
        <v>87</v>
      </c>
    </row>
    <row r="57" spans="1:6" x14ac:dyDescent="0.15">
      <c r="A57" s="48" t="s">
        <v>673</v>
      </c>
      <c r="B57" s="48" t="s">
        <v>576</v>
      </c>
      <c r="C57" s="48" t="s">
        <v>484</v>
      </c>
      <c r="D57" s="48">
        <v>160</v>
      </c>
      <c r="F57" s="48" t="s">
        <v>87</v>
      </c>
    </row>
    <row r="58" spans="1:6" x14ac:dyDescent="0.15">
      <c r="A58" s="48" t="s">
        <v>674</v>
      </c>
      <c r="B58" s="48" t="s">
        <v>608</v>
      </c>
      <c r="C58" s="48" t="s">
        <v>56</v>
      </c>
      <c r="D58" s="48" t="s">
        <v>535</v>
      </c>
      <c r="F58" s="48" t="s">
        <v>88</v>
      </c>
    </row>
    <row r="59" spans="1:6" x14ac:dyDescent="0.15">
      <c r="A59" s="48" t="s">
        <v>675</v>
      </c>
      <c r="B59" s="48" t="s">
        <v>608</v>
      </c>
      <c r="C59" s="48" t="s">
        <v>56</v>
      </c>
      <c r="D59" s="48" t="s">
        <v>535</v>
      </c>
      <c r="F59" s="48" t="s">
        <v>88</v>
      </c>
    </row>
  </sheetData>
  <phoneticPr fontId="5" type="noConversion"/>
  <pageMargins left="0.5" right="0.5" top="1" bottom="1" header="0.5" footer="0.5"/>
  <pageSetup orientation="portrait" horizontalDpi="4294967292" vertic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F72"/>
  <sheetViews>
    <sheetView view="pageLayout" topLeftCell="A12" zoomScale="125" zoomScaleNormal="100" zoomScalePageLayoutView="125" workbookViewId="0">
      <selection activeCell="D21" sqref="D21:D22"/>
    </sheetView>
  </sheetViews>
  <sheetFormatPr baseColWidth="10" defaultRowHeight="14" x14ac:dyDescent="0.2"/>
  <cols>
    <col min="1" max="1" width="10.6640625" style="45" customWidth="1"/>
    <col min="2" max="2" width="10.6640625" style="20" customWidth="1"/>
    <col min="3" max="3" width="13.1640625" style="20" customWidth="1"/>
    <col min="4" max="4" width="10.6640625" style="20" customWidth="1"/>
    <col min="5" max="5" width="20.5" style="46" customWidth="1"/>
    <col min="6" max="6" width="10.6640625" style="20" customWidth="1"/>
  </cols>
  <sheetData>
    <row r="1" spans="1:6" s="37" customFormat="1" ht="18" customHeight="1" x14ac:dyDescent="0.15">
      <c r="A1" s="41" t="s">
        <v>293</v>
      </c>
      <c r="B1" s="42" t="s">
        <v>294</v>
      </c>
      <c r="C1" s="43" t="s">
        <v>229</v>
      </c>
      <c r="D1" s="44" t="s">
        <v>230</v>
      </c>
      <c r="E1" s="43" t="s">
        <v>152</v>
      </c>
      <c r="F1" s="43" t="s">
        <v>86</v>
      </c>
    </row>
    <row r="2" spans="1:6" s="18" customFormat="1" ht="18" customHeight="1" x14ac:dyDescent="0.2">
      <c r="A2" s="40">
        <v>39706</v>
      </c>
      <c r="B2" s="26">
        <v>0.625</v>
      </c>
      <c r="C2" s="18" t="s">
        <v>280</v>
      </c>
      <c r="D2" s="18">
        <v>100</v>
      </c>
      <c r="E2" s="36" t="s">
        <v>512</v>
      </c>
      <c r="F2" s="18" t="s">
        <v>27</v>
      </c>
    </row>
    <row r="3" spans="1:6" s="18" customFormat="1" ht="18" customHeight="1" x14ac:dyDescent="0.2">
      <c r="A3" s="40">
        <v>39712</v>
      </c>
      <c r="B3" s="38">
        <v>0.83333333333333337</v>
      </c>
      <c r="C3" s="18" t="s">
        <v>513</v>
      </c>
      <c r="D3" s="18">
        <v>152</v>
      </c>
      <c r="E3" s="36" t="s">
        <v>514</v>
      </c>
      <c r="F3" s="18" t="s">
        <v>87</v>
      </c>
    </row>
    <row r="4" spans="1:6" s="18" customFormat="1" ht="18" customHeight="1" x14ac:dyDescent="0.2">
      <c r="A4" s="40">
        <v>39718</v>
      </c>
      <c r="B4" s="38">
        <v>0.83333333333333337</v>
      </c>
      <c r="C4" s="18" t="s">
        <v>515</v>
      </c>
      <c r="D4" s="39" t="s">
        <v>516</v>
      </c>
      <c r="E4" s="36" t="s">
        <v>517</v>
      </c>
      <c r="F4" s="18" t="s">
        <v>87</v>
      </c>
    </row>
    <row r="5" spans="1:6" s="18" customFormat="1" ht="18" customHeight="1" x14ac:dyDescent="0.2">
      <c r="A5" s="40">
        <v>39720</v>
      </c>
      <c r="B5" s="38">
        <v>0.625</v>
      </c>
      <c r="C5" s="18" t="s">
        <v>537</v>
      </c>
      <c r="D5" s="39" t="s">
        <v>538</v>
      </c>
      <c r="E5" s="36"/>
    </row>
    <row r="6" spans="1:6" s="18" customFormat="1" ht="18" customHeight="1" x14ac:dyDescent="0.2">
      <c r="A6" s="40">
        <v>39726</v>
      </c>
      <c r="B6" s="38">
        <v>0.83333333333333337</v>
      </c>
      <c r="C6" s="18" t="s">
        <v>518</v>
      </c>
      <c r="D6" s="18">
        <v>142</v>
      </c>
      <c r="E6" s="36" t="s">
        <v>523</v>
      </c>
      <c r="F6" s="18" t="s">
        <v>87</v>
      </c>
    </row>
    <row r="7" spans="1:6" s="18" customFormat="1" ht="18" customHeight="1" x14ac:dyDescent="0.2">
      <c r="A7" s="40">
        <v>39727</v>
      </c>
      <c r="B7" s="26">
        <v>0.625</v>
      </c>
      <c r="C7" s="18" t="s">
        <v>519</v>
      </c>
      <c r="D7" s="18">
        <v>160</v>
      </c>
      <c r="E7" s="36"/>
      <c r="F7" s="18" t="s">
        <v>87</v>
      </c>
    </row>
    <row r="8" spans="1:6" s="18" customFormat="1" ht="18" customHeight="1" x14ac:dyDescent="0.2">
      <c r="A8" s="40">
        <v>39733</v>
      </c>
      <c r="B8" s="38">
        <v>0.4375</v>
      </c>
      <c r="C8" s="18" t="s">
        <v>524</v>
      </c>
      <c r="D8" s="18">
        <v>194</v>
      </c>
      <c r="E8" s="36"/>
      <c r="F8" s="18" t="s">
        <v>87</v>
      </c>
    </row>
    <row r="9" spans="1:6" s="18" customFormat="1" ht="18" customHeight="1" x14ac:dyDescent="0.2">
      <c r="A9" s="40">
        <v>39733</v>
      </c>
      <c r="B9" s="38">
        <v>0.83333333333333337</v>
      </c>
      <c r="C9" s="18" t="s">
        <v>520</v>
      </c>
      <c r="D9" s="18">
        <v>309</v>
      </c>
      <c r="E9" s="36"/>
      <c r="F9" s="18" t="s">
        <v>87</v>
      </c>
    </row>
    <row r="10" spans="1:6" s="18" customFormat="1" ht="18" customHeight="1" x14ac:dyDescent="0.2">
      <c r="A10" s="40">
        <v>39734</v>
      </c>
      <c r="B10" s="28">
        <v>0.625</v>
      </c>
      <c r="C10" s="18" t="s">
        <v>520</v>
      </c>
      <c r="D10" s="18">
        <v>355</v>
      </c>
      <c r="E10" s="36" t="s">
        <v>691</v>
      </c>
      <c r="F10" s="18" t="s">
        <v>87</v>
      </c>
    </row>
    <row r="11" spans="1:6" s="18" customFormat="1" ht="18" customHeight="1" x14ac:dyDescent="0.2">
      <c r="A11" s="40">
        <v>39746</v>
      </c>
      <c r="B11" s="38">
        <v>0.83333333333333337</v>
      </c>
      <c r="C11" s="18" t="s">
        <v>370</v>
      </c>
      <c r="D11" s="18">
        <v>143</v>
      </c>
      <c r="E11" s="36"/>
      <c r="F11" s="18" t="s">
        <v>87</v>
      </c>
    </row>
    <row r="12" spans="1:6" s="18" customFormat="1" ht="18" customHeight="1" x14ac:dyDescent="0.2">
      <c r="A12" s="40">
        <v>39747</v>
      </c>
      <c r="B12" s="38">
        <v>0.83333333333333337</v>
      </c>
      <c r="C12" s="18" t="s">
        <v>521</v>
      </c>
      <c r="D12" s="18">
        <v>96</v>
      </c>
      <c r="E12" s="36" t="s">
        <v>525</v>
      </c>
      <c r="F12" s="18" t="s">
        <v>87</v>
      </c>
    </row>
    <row r="13" spans="1:6" s="18" customFormat="1" ht="18" customHeight="1" x14ac:dyDescent="0.2">
      <c r="A13" s="40">
        <v>39748</v>
      </c>
      <c r="B13" s="38"/>
      <c r="C13" s="18" t="s">
        <v>526</v>
      </c>
      <c r="D13" s="18">
        <v>215</v>
      </c>
      <c r="E13" s="36"/>
      <c r="F13" s="18" t="s">
        <v>87</v>
      </c>
    </row>
    <row r="14" spans="1:6" s="18" customFormat="1" ht="18" customHeight="1" x14ac:dyDescent="0.2">
      <c r="A14" s="40">
        <v>39751</v>
      </c>
      <c r="B14" s="38">
        <v>0.79166666666666663</v>
      </c>
      <c r="C14" s="18" t="s">
        <v>522</v>
      </c>
      <c r="D14" s="18">
        <v>41</v>
      </c>
      <c r="E14" s="36"/>
      <c r="F14" s="18" t="s">
        <v>88</v>
      </c>
    </row>
    <row r="15" spans="1:6" s="18" customFormat="1" ht="18" customHeight="1" x14ac:dyDescent="0.2">
      <c r="A15" s="40">
        <v>39754</v>
      </c>
      <c r="B15" s="38">
        <v>0.83333333333333337</v>
      </c>
      <c r="C15" s="18" t="s">
        <v>527</v>
      </c>
      <c r="D15" s="18">
        <v>84</v>
      </c>
      <c r="E15" s="36"/>
      <c r="F15" s="18" t="s">
        <v>87</v>
      </c>
    </row>
    <row r="16" spans="1:6" s="18" customFormat="1" ht="18" customHeight="1" x14ac:dyDescent="0.2">
      <c r="A16" s="40">
        <v>39761</v>
      </c>
      <c r="B16" s="38">
        <v>0.83333333333333337</v>
      </c>
      <c r="C16" s="18" t="s">
        <v>528</v>
      </c>
      <c r="D16" s="18">
        <v>113</v>
      </c>
      <c r="E16" s="36" t="s">
        <v>530</v>
      </c>
      <c r="F16" s="18" t="s">
        <v>87</v>
      </c>
    </row>
    <row r="17" spans="1:6" s="18" customFormat="1" ht="18" customHeight="1" x14ac:dyDescent="0.2">
      <c r="A17" s="40">
        <v>39762</v>
      </c>
      <c r="B17" s="28">
        <v>0.625</v>
      </c>
      <c r="C17" s="18" t="s">
        <v>528</v>
      </c>
      <c r="D17" s="18">
        <v>163</v>
      </c>
      <c r="E17" s="36"/>
      <c r="F17" s="18" t="s">
        <v>87</v>
      </c>
    </row>
    <row r="18" spans="1:6" s="18" customFormat="1" ht="18" customHeight="1" x14ac:dyDescent="0.2">
      <c r="A18" s="40">
        <v>39767</v>
      </c>
      <c r="B18" s="38">
        <v>0.83333333333333337</v>
      </c>
      <c r="C18" s="18" t="s">
        <v>382</v>
      </c>
      <c r="D18" s="18">
        <v>101</v>
      </c>
      <c r="E18" s="36"/>
      <c r="F18" s="18" t="s">
        <v>87</v>
      </c>
    </row>
    <row r="19" spans="1:6" s="18" customFormat="1" ht="18" customHeight="1" x14ac:dyDescent="0.2">
      <c r="A19" s="40">
        <v>39768</v>
      </c>
      <c r="B19" s="38">
        <v>0.83333333333333337</v>
      </c>
      <c r="C19" s="18" t="s">
        <v>529</v>
      </c>
      <c r="D19" s="18" t="s">
        <v>551</v>
      </c>
      <c r="E19" s="36"/>
      <c r="F19" s="18" t="s">
        <v>88</v>
      </c>
    </row>
    <row r="20" spans="1:6" s="18" customFormat="1" ht="18" customHeight="1" x14ac:dyDescent="0.2">
      <c r="A20" s="40">
        <v>39769</v>
      </c>
      <c r="B20" s="28">
        <v>0.625</v>
      </c>
      <c r="C20" s="18" t="s">
        <v>382</v>
      </c>
      <c r="D20" s="18">
        <v>118</v>
      </c>
      <c r="E20" s="36"/>
      <c r="F20" s="18" t="s">
        <v>87</v>
      </c>
    </row>
    <row r="21" spans="1:6" s="18" customFormat="1" ht="18" customHeight="1" x14ac:dyDescent="0.2">
      <c r="A21" s="40">
        <v>39781</v>
      </c>
      <c r="B21" s="38">
        <v>0.83333333333333337</v>
      </c>
      <c r="C21" s="18" t="s">
        <v>531</v>
      </c>
      <c r="D21" s="18" t="s">
        <v>534</v>
      </c>
      <c r="E21" s="36"/>
      <c r="F21" s="18" t="s">
        <v>87</v>
      </c>
    </row>
    <row r="22" spans="1:6" s="18" customFormat="1" ht="18" customHeight="1" x14ac:dyDescent="0.2">
      <c r="A22" s="40">
        <v>39783</v>
      </c>
      <c r="B22" s="38">
        <v>0.625</v>
      </c>
      <c r="C22" s="18" t="s">
        <v>531</v>
      </c>
      <c r="D22" s="18">
        <v>272</v>
      </c>
      <c r="E22" s="36" t="s">
        <v>339</v>
      </c>
      <c r="F22" s="18" t="s">
        <v>87</v>
      </c>
    </row>
    <row r="23" spans="1:6" s="18" customFormat="1" ht="18" customHeight="1" x14ac:dyDescent="0.2">
      <c r="A23" s="40">
        <v>39784</v>
      </c>
      <c r="B23" s="38">
        <v>0.83333333333333337</v>
      </c>
      <c r="C23" s="18" t="s">
        <v>532</v>
      </c>
      <c r="E23" s="36"/>
      <c r="F23" s="18" t="s">
        <v>88</v>
      </c>
    </row>
    <row r="24" spans="1:6" s="18" customFormat="1" ht="18" customHeight="1" x14ac:dyDescent="0.2">
      <c r="A24" s="40">
        <v>39786</v>
      </c>
      <c r="B24" s="38">
        <v>0.83333333333333337</v>
      </c>
      <c r="C24" s="18" t="s">
        <v>413</v>
      </c>
      <c r="D24" s="18" t="s">
        <v>535</v>
      </c>
      <c r="E24" s="36"/>
      <c r="F24" s="18" t="s">
        <v>88</v>
      </c>
    </row>
    <row r="25" spans="1:6" s="18" customFormat="1" ht="18" customHeight="1" x14ac:dyDescent="0.2">
      <c r="A25" s="40">
        <v>39789</v>
      </c>
      <c r="B25" s="38">
        <v>0.83333333333333337</v>
      </c>
      <c r="C25" s="18" t="s">
        <v>324</v>
      </c>
      <c r="D25" s="18" t="s">
        <v>535</v>
      </c>
      <c r="E25" s="36" t="s">
        <v>536</v>
      </c>
      <c r="F25" s="18" t="s">
        <v>533</v>
      </c>
    </row>
    <row r="26" spans="1:6" s="18" customFormat="1" ht="18" customHeight="1" x14ac:dyDescent="0.2">
      <c r="A26" s="40">
        <v>39790</v>
      </c>
      <c r="B26" s="38">
        <v>0.625</v>
      </c>
      <c r="C26" s="18" t="s">
        <v>324</v>
      </c>
      <c r="D26" s="18" t="s">
        <v>535</v>
      </c>
      <c r="E26" s="36"/>
      <c r="F26" s="18" t="s">
        <v>533</v>
      </c>
    </row>
    <row r="27" spans="1:6" s="18" customFormat="1" ht="18" customHeight="1" x14ac:dyDescent="0.2">
      <c r="A27" s="40">
        <v>39791</v>
      </c>
      <c r="B27" s="38">
        <v>0.83333333333333337</v>
      </c>
      <c r="C27" s="18" t="s">
        <v>484</v>
      </c>
      <c r="D27" s="18">
        <v>135</v>
      </c>
      <c r="E27" s="36"/>
      <c r="F27" s="18" t="s">
        <v>87</v>
      </c>
    </row>
    <row r="28" spans="1:6" s="18" customFormat="1" ht="18" customHeight="1" x14ac:dyDescent="0.2">
      <c r="A28" s="40">
        <v>39792</v>
      </c>
      <c r="B28" s="38">
        <v>0.79166666666666663</v>
      </c>
      <c r="C28" s="18" t="s">
        <v>522</v>
      </c>
      <c r="D28" s="18">
        <v>50</v>
      </c>
      <c r="E28" s="36"/>
      <c r="F28" s="18" t="s">
        <v>88</v>
      </c>
    </row>
    <row r="29" spans="1:6" s="18" customFormat="1" ht="18" customHeight="1" x14ac:dyDescent="0.2">
      <c r="A29" s="40">
        <v>39793</v>
      </c>
      <c r="B29" s="38">
        <v>0.79166666666666663</v>
      </c>
      <c r="C29" s="18" t="s">
        <v>522</v>
      </c>
      <c r="D29" s="18">
        <v>33</v>
      </c>
      <c r="E29" s="36"/>
      <c r="F29" s="18" t="s">
        <v>88</v>
      </c>
    </row>
    <row r="30" spans="1:6" s="18" customFormat="1" ht="18" customHeight="1" x14ac:dyDescent="0.2">
      <c r="A30" s="40"/>
      <c r="E30" s="36"/>
    </row>
    <row r="31" spans="1:6" s="18" customFormat="1" ht="18" customHeight="1" x14ac:dyDescent="0.2">
      <c r="A31" s="40">
        <v>39839</v>
      </c>
      <c r="B31" s="38">
        <v>0.625</v>
      </c>
      <c r="C31" s="18" t="s">
        <v>537</v>
      </c>
      <c r="D31" s="18">
        <v>153</v>
      </c>
      <c r="E31" s="36"/>
      <c r="F31" s="18" t="s">
        <v>87</v>
      </c>
    </row>
    <row r="32" spans="1:6" s="18" customFormat="1" ht="18" customHeight="1" x14ac:dyDescent="0.2">
      <c r="A32" s="40">
        <v>39844</v>
      </c>
      <c r="B32" s="38">
        <v>0.83333333333333337</v>
      </c>
      <c r="C32" s="18" t="s">
        <v>10</v>
      </c>
      <c r="D32" s="18">
        <v>60</v>
      </c>
      <c r="E32" s="36"/>
      <c r="F32" s="18" t="s">
        <v>88</v>
      </c>
    </row>
    <row r="33" spans="1:6" s="18" customFormat="1" ht="18" customHeight="1" x14ac:dyDescent="0.2">
      <c r="A33" s="40">
        <v>39845</v>
      </c>
      <c r="B33" s="38">
        <v>0.625</v>
      </c>
      <c r="C33" s="18" t="s">
        <v>539</v>
      </c>
      <c r="D33" s="18">
        <v>31</v>
      </c>
      <c r="E33" s="36"/>
      <c r="F33" s="18" t="s">
        <v>88</v>
      </c>
    </row>
    <row r="34" spans="1:6" s="18" customFormat="1" ht="18" customHeight="1" x14ac:dyDescent="0.2">
      <c r="A34" s="40">
        <v>39845</v>
      </c>
      <c r="B34" s="38">
        <v>0.83333333333333337</v>
      </c>
      <c r="C34" s="18" t="s">
        <v>10</v>
      </c>
      <c r="D34" s="18">
        <v>66</v>
      </c>
      <c r="E34" s="36"/>
      <c r="F34" s="18" t="s">
        <v>88</v>
      </c>
    </row>
    <row r="35" spans="1:6" s="18" customFormat="1" ht="18" customHeight="1" x14ac:dyDescent="0.2">
      <c r="A35" s="40">
        <v>39851</v>
      </c>
      <c r="B35" s="38">
        <v>0.83333333333333337</v>
      </c>
      <c r="C35" s="18" t="s">
        <v>540</v>
      </c>
      <c r="D35" s="18">
        <v>74</v>
      </c>
      <c r="E35" s="36" t="s">
        <v>541</v>
      </c>
      <c r="F35" s="18" t="s">
        <v>87</v>
      </c>
    </row>
    <row r="36" spans="1:6" s="18" customFormat="1" ht="18" customHeight="1" x14ac:dyDescent="0.2">
      <c r="A36" s="40">
        <v>39852</v>
      </c>
      <c r="B36" s="38">
        <v>0.83333333333333337</v>
      </c>
      <c r="C36" s="18" t="s">
        <v>542</v>
      </c>
      <c r="D36" s="18">
        <v>121</v>
      </c>
      <c r="E36" s="36"/>
      <c r="F36" s="18" t="s">
        <v>87</v>
      </c>
    </row>
    <row r="37" spans="1:6" s="18" customFormat="1" ht="18" customHeight="1" x14ac:dyDescent="0.2">
      <c r="A37" s="40">
        <v>39858</v>
      </c>
      <c r="B37" s="38">
        <v>0.83333333333333337</v>
      </c>
      <c r="C37" s="18" t="s">
        <v>543</v>
      </c>
      <c r="D37" s="18">
        <v>539</v>
      </c>
      <c r="E37" s="36" t="s">
        <v>547</v>
      </c>
      <c r="F37" s="18" t="s">
        <v>87</v>
      </c>
    </row>
    <row r="38" spans="1:6" s="18" customFormat="1" ht="18" customHeight="1" x14ac:dyDescent="0.2">
      <c r="A38" s="40">
        <v>39859</v>
      </c>
      <c r="B38" s="38">
        <v>0.625</v>
      </c>
      <c r="C38" s="18" t="s">
        <v>548</v>
      </c>
      <c r="D38" s="18">
        <v>323</v>
      </c>
      <c r="E38" s="36" t="s">
        <v>549</v>
      </c>
      <c r="F38" s="18" t="s">
        <v>87</v>
      </c>
    </row>
    <row r="39" spans="1:6" s="18" customFormat="1" ht="18" customHeight="1" x14ac:dyDescent="0.2">
      <c r="A39" s="40">
        <v>39859</v>
      </c>
      <c r="B39" s="38">
        <v>0.83333333333333337</v>
      </c>
      <c r="C39" s="18" t="s">
        <v>544</v>
      </c>
      <c r="D39" s="18">
        <v>164</v>
      </c>
      <c r="E39" s="36" t="s">
        <v>547</v>
      </c>
      <c r="F39" s="18" t="s">
        <v>87</v>
      </c>
    </row>
    <row r="40" spans="1:6" s="18" customFormat="1" ht="18" customHeight="1" x14ac:dyDescent="0.2">
      <c r="A40" s="40">
        <v>39860</v>
      </c>
      <c r="B40" s="38"/>
      <c r="C40" s="18" t="s">
        <v>550</v>
      </c>
      <c r="D40" s="18">
        <v>240</v>
      </c>
      <c r="E40" s="36" t="s">
        <v>549</v>
      </c>
      <c r="F40" s="18" t="s">
        <v>87</v>
      </c>
    </row>
    <row r="41" spans="1:6" s="18" customFormat="1" ht="18" customHeight="1" x14ac:dyDescent="0.2">
      <c r="A41" s="40">
        <v>39863</v>
      </c>
      <c r="B41" s="38">
        <v>0.84375</v>
      </c>
      <c r="C41" s="18" t="s">
        <v>56</v>
      </c>
      <c r="D41" s="18">
        <v>41</v>
      </c>
      <c r="E41" s="36"/>
      <c r="F41" s="18" t="s">
        <v>88</v>
      </c>
    </row>
    <row r="42" spans="1:6" s="18" customFormat="1" ht="18" customHeight="1" x14ac:dyDescent="0.2">
      <c r="A42" s="40">
        <v>39865</v>
      </c>
      <c r="B42" s="38">
        <v>0.83333333333333337</v>
      </c>
      <c r="C42" s="18" t="s">
        <v>545</v>
      </c>
      <c r="D42" s="18">
        <v>45</v>
      </c>
      <c r="E42" s="36"/>
      <c r="F42" s="18" t="s">
        <v>88</v>
      </c>
    </row>
    <row r="43" spans="1:6" s="18" customFormat="1" ht="18" customHeight="1" x14ac:dyDescent="0.2">
      <c r="A43" s="40">
        <v>39866</v>
      </c>
      <c r="B43" s="38">
        <v>0.83333333333333337</v>
      </c>
      <c r="C43" s="18" t="s">
        <v>546</v>
      </c>
      <c r="D43" s="18">
        <v>161</v>
      </c>
      <c r="E43" s="36"/>
      <c r="F43" s="18" t="s">
        <v>87</v>
      </c>
    </row>
    <row r="44" spans="1:6" s="18" customFormat="1" ht="18" customHeight="1" x14ac:dyDescent="0.2">
      <c r="A44" s="40">
        <v>39872</v>
      </c>
      <c r="B44" s="38">
        <v>0.83333333333333337</v>
      </c>
      <c r="C44" s="18" t="s">
        <v>324</v>
      </c>
      <c r="D44" s="18">
        <v>391</v>
      </c>
      <c r="E44" s="36"/>
      <c r="F44" s="18" t="s">
        <v>87</v>
      </c>
    </row>
    <row r="45" spans="1:6" s="18" customFormat="1" ht="18" customHeight="1" x14ac:dyDescent="0.2">
      <c r="A45" s="40">
        <v>39874</v>
      </c>
      <c r="B45" s="38">
        <v>0.625</v>
      </c>
      <c r="C45" s="18" t="s">
        <v>324</v>
      </c>
      <c r="D45" s="18">
        <v>290</v>
      </c>
      <c r="E45" s="36" t="s">
        <v>552</v>
      </c>
      <c r="F45" s="18" t="s">
        <v>87</v>
      </c>
    </row>
    <row r="46" spans="1:6" s="18" customFormat="1" ht="18" customHeight="1" x14ac:dyDescent="0.2">
      <c r="A46" s="40">
        <v>39876</v>
      </c>
      <c r="B46" s="38">
        <v>0.6875</v>
      </c>
      <c r="C46" s="18" t="s">
        <v>413</v>
      </c>
      <c r="D46" s="18">
        <v>115</v>
      </c>
      <c r="E46" s="36"/>
      <c r="F46" s="18" t="s">
        <v>88</v>
      </c>
    </row>
    <row r="47" spans="1:6" s="18" customFormat="1" ht="18" customHeight="1" x14ac:dyDescent="0.2">
      <c r="A47" s="40">
        <v>39878</v>
      </c>
      <c r="B47" s="38">
        <v>0.875</v>
      </c>
      <c r="C47" s="18" t="s">
        <v>553</v>
      </c>
      <c r="D47" s="18">
        <v>33</v>
      </c>
      <c r="E47" s="36"/>
      <c r="F47" s="18" t="s">
        <v>88</v>
      </c>
    </row>
    <row r="48" spans="1:6" s="18" customFormat="1" ht="18" customHeight="1" x14ac:dyDescent="0.2">
      <c r="A48" s="40">
        <v>39879</v>
      </c>
      <c r="B48" s="38">
        <v>0.83333333333333337</v>
      </c>
      <c r="C48" s="18" t="s">
        <v>554</v>
      </c>
      <c r="D48" s="18">
        <v>78</v>
      </c>
      <c r="E48" s="36"/>
      <c r="F48" s="18" t="s">
        <v>88</v>
      </c>
    </row>
    <row r="49" spans="1:6" s="18" customFormat="1" ht="18" customHeight="1" x14ac:dyDescent="0.2">
      <c r="A49" s="40">
        <v>39881</v>
      </c>
      <c r="B49" s="38">
        <v>0.625</v>
      </c>
      <c r="C49" s="18" t="s">
        <v>555</v>
      </c>
      <c r="D49" s="18">
        <v>243</v>
      </c>
      <c r="E49" s="36"/>
      <c r="F49" s="18" t="s">
        <v>87</v>
      </c>
    </row>
    <row r="50" spans="1:6" s="18" customFormat="1" ht="18" customHeight="1" x14ac:dyDescent="0.2">
      <c r="A50" s="40">
        <v>39901</v>
      </c>
      <c r="B50" s="38">
        <v>0.83333333333333337</v>
      </c>
      <c r="C50" s="18" t="s">
        <v>556</v>
      </c>
      <c r="D50" s="18">
        <v>105</v>
      </c>
      <c r="E50" s="36" t="s">
        <v>557</v>
      </c>
      <c r="F50" s="18" t="s">
        <v>88</v>
      </c>
    </row>
    <row r="51" spans="1:6" s="47" customFormat="1" ht="18" customHeight="1" x14ac:dyDescent="0.2">
      <c r="A51" s="40">
        <v>39905</v>
      </c>
      <c r="B51" s="38">
        <v>0.83333333333333337</v>
      </c>
      <c r="C51" s="18" t="s">
        <v>566</v>
      </c>
      <c r="D51" s="18">
        <v>74</v>
      </c>
      <c r="E51" s="36" t="s">
        <v>567</v>
      </c>
      <c r="F51" s="18" t="s">
        <v>88</v>
      </c>
    </row>
    <row r="52" spans="1:6" s="18" customFormat="1" ht="18" customHeight="1" x14ac:dyDescent="0.2">
      <c r="A52" s="40">
        <v>39908</v>
      </c>
      <c r="B52" s="38">
        <v>0.83333333333333337</v>
      </c>
      <c r="C52" s="18" t="s">
        <v>558</v>
      </c>
      <c r="D52" s="18">
        <v>134</v>
      </c>
      <c r="E52" s="36"/>
      <c r="F52" s="18" t="s">
        <v>87</v>
      </c>
    </row>
    <row r="53" spans="1:6" s="18" customFormat="1" ht="18" customHeight="1" x14ac:dyDescent="0.2">
      <c r="A53" s="40">
        <v>39909</v>
      </c>
      <c r="B53" s="38">
        <v>0.625</v>
      </c>
      <c r="C53" s="18" t="s">
        <v>559</v>
      </c>
      <c r="D53" s="18">
        <v>77</v>
      </c>
      <c r="E53" s="36"/>
      <c r="F53" s="18" t="s">
        <v>87</v>
      </c>
    </row>
    <row r="54" spans="1:6" s="18" customFormat="1" ht="18" customHeight="1" x14ac:dyDescent="0.2">
      <c r="A54" s="40">
        <v>39914</v>
      </c>
      <c r="B54" s="38">
        <v>0.83333333333333337</v>
      </c>
      <c r="C54" s="18" t="s">
        <v>560</v>
      </c>
      <c r="E54" s="36"/>
      <c r="F54" s="18" t="s">
        <v>88</v>
      </c>
    </row>
    <row r="55" spans="1:6" s="18" customFormat="1" ht="18" customHeight="1" x14ac:dyDescent="0.2">
      <c r="A55" s="40">
        <v>39915</v>
      </c>
      <c r="B55" s="38">
        <v>0.83333333333333337</v>
      </c>
      <c r="C55" s="18" t="s">
        <v>561</v>
      </c>
      <c r="D55" s="18">
        <v>77</v>
      </c>
      <c r="E55" s="36" t="s">
        <v>563</v>
      </c>
      <c r="F55" s="18" t="s">
        <v>87</v>
      </c>
    </row>
    <row r="56" spans="1:6" s="18" customFormat="1" ht="18" customHeight="1" x14ac:dyDescent="0.2">
      <c r="A56" s="40">
        <v>39916</v>
      </c>
      <c r="B56" s="38">
        <v>0.625</v>
      </c>
      <c r="C56" s="18" t="s">
        <v>562</v>
      </c>
      <c r="D56" s="18">
        <v>143</v>
      </c>
      <c r="E56" s="36"/>
      <c r="F56" s="18" t="s">
        <v>87</v>
      </c>
    </row>
    <row r="57" spans="1:6" s="18" customFormat="1" ht="18" customHeight="1" x14ac:dyDescent="0.2">
      <c r="A57" s="40">
        <v>39921</v>
      </c>
      <c r="C57" s="18" t="s">
        <v>564</v>
      </c>
      <c r="D57" s="18">
        <v>74</v>
      </c>
      <c r="E57" s="36" t="s">
        <v>565</v>
      </c>
      <c r="F57" s="18" t="s">
        <v>88</v>
      </c>
    </row>
    <row r="58" spans="1:6" ht="18" customHeight="1" x14ac:dyDescent="0.2">
      <c r="A58" s="40">
        <v>39928</v>
      </c>
      <c r="B58" s="38">
        <v>0.83333333333333337</v>
      </c>
      <c r="C58" s="18" t="s">
        <v>568</v>
      </c>
      <c r="D58" s="18">
        <v>370</v>
      </c>
      <c r="E58" s="36"/>
      <c r="F58" s="18" t="s">
        <v>87</v>
      </c>
    </row>
    <row r="59" spans="1:6" ht="18" customHeight="1" x14ac:dyDescent="0.2">
      <c r="A59" s="40">
        <v>39930</v>
      </c>
      <c r="B59" s="38">
        <v>0.625</v>
      </c>
      <c r="C59" s="18" t="s">
        <v>568</v>
      </c>
      <c r="D59" s="18" t="s">
        <v>569</v>
      </c>
      <c r="E59" s="36" t="s">
        <v>570</v>
      </c>
      <c r="F59" s="18" t="s">
        <v>87</v>
      </c>
    </row>
    <row r="60" spans="1:6" ht="18" customHeight="1" x14ac:dyDescent="0.2">
      <c r="A60" s="40">
        <v>39931</v>
      </c>
      <c r="B60" s="38">
        <v>0.83333333333333337</v>
      </c>
      <c r="C60" s="18" t="s">
        <v>571</v>
      </c>
      <c r="D60" s="18" t="s">
        <v>572</v>
      </c>
      <c r="E60" s="36"/>
      <c r="F60" s="18" t="s">
        <v>88</v>
      </c>
    </row>
    <row r="61" spans="1:6" ht="18" customHeight="1" x14ac:dyDescent="0.2">
      <c r="A61" s="40">
        <v>39934</v>
      </c>
      <c r="B61" s="38">
        <v>0.83333333333333337</v>
      </c>
      <c r="C61" s="18" t="s">
        <v>479</v>
      </c>
      <c r="D61" s="18">
        <v>185</v>
      </c>
      <c r="E61" s="36"/>
      <c r="F61" s="18" t="s">
        <v>87</v>
      </c>
    </row>
    <row r="62" spans="1:6" ht="18" customHeight="1" x14ac:dyDescent="0.2">
      <c r="A62" s="40">
        <v>39935</v>
      </c>
      <c r="B62" s="38">
        <v>0.83333333333333337</v>
      </c>
      <c r="C62" s="18" t="s">
        <v>413</v>
      </c>
      <c r="D62" s="18">
        <v>102</v>
      </c>
      <c r="E62" s="36"/>
      <c r="F62" s="18" t="s">
        <v>88</v>
      </c>
    </row>
    <row r="63" spans="1:6" ht="18" customHeight="1" x14ac:dyDescent="0.2">
      <c r="A63" s="40">
        <v>39936</v>
      </c>
      <c r="B63" s="38">
        <v>0.45833333333333331</v>
      </c>
      <c r="C63" s="18" t="s">
        <v>382</v>
      </c>
      <c r="D63" s="18">
        <v>284</v>
      </c>
      <c r="E63" s="36" t="s">
        <v>227</v>
      </c>
      <c r="F63" s="18" t="s">
        <v>87</v>
      </c>
    </row>
    <row r="64" spans="1:6" ht="18" customHeight="1" x14ac:dyDescent="0.2">
      <c r="A64" s="40">
        <v>39936</v>
      </c>
      <c r="B64" s="38">
        <v>0.55208333333333337</v>
      </c>
      <c r="C64" s="18" t="s">
        <v>479</v>
      </c>
      <c r="D64" s="18">
        <v>320</v>
      </c>
      <c r="E64" s="36" t="s">
        <v>227</v>
      </c>
      <c r="F64" s="18" t="s">
        <v>87</v>
      </c>
    </row>
    <row r="65" spans="1:6" ht="18" customHeight="1" x14ac:dyDescent="0.2">
      <c r="A65" s="40">
        <v>39937</v>
      </c>
      <c r="B65" s="38">
        <v>0.83333333333333337</v>
      </c>
      <c r="C65" s="18" t="s">
        <v>382</v>
      </c>
      <c r="D65" s="18">
        <v>70</v>
      </c>
      <c r="E65" s="36"/>
      <c r="F65" s="18" t="s">
        <v>87</v>
      </c>
    </row>
    <row r="66" spans="1:6" ht="18" customHeight="1" x14ac:dyDescent="0.2">
      <c r="A66" s="40">
        <v>39938</v>
      </c>
      <c r="B66" s="38">
        <v>0.83333333333333337</v>
      </c>
      <c r="C66" s="18" t="s">
        <v>484</v>
      </c>
      <c r="D66" s="18">
        <v>199</v>
      </c>
      <c r="E66" s="36"/>
      <c r="F66" s="18" t="s">
        <v>87</v>
      </c>
    </row>
    <row r="67" spans="1:6" ht="18" customHeight="1" x14ac:dyDescent="0.2">
      <c r="A67" s="40">
        <v>39939</v>
      </c>
      <c r="B67" s="38">
        <v>0.79166666666666663</v>
      </c>
      <c r="C67" s="18" t="s">
        <v>56</v>
      </c>
      <c r="D67" s="18">
        <v>55</v>
      </c>
      <c r="E67" s="36"/>
      <c r="F67" s="18" t="s">
        <v>88</v>
      </c>
    </row>
    <row r="68" spans="1:6" ht="18" customHeight="1" x14ac:dyDescent="0.2">
      <c r="A68" s="40">
        <v>39940</v>
      </c>
      <c r="B68" s="38">
        <v>0.79166666666666663</v>
      </c>
      <c r="C68" s="18" t="s">
        <v>56</v>
      </c>
      <c r="D68" s="18">
        <v>64</v>
      </c>
      <c r="E68" s="36"/>
      <c r="F68" s="18" t="s">
        <v>88</v>
      </c>
    </row>
    <row r="69" spans="1:6" ht="18" customHeight="1" x14ac:dyDescent="0.2">
      <c r="A69" s="40"/>
      <c r="B69" s="18"/>
      <c r="C69" s="18"/>
      <c r="D69" s="18"/>
      <c r="E69" s="36"/>
      <c r="F69" s="18"/>
    </row>
    <row r="70" spans="1:6" ht="18" customHeight="1" x14ac:dyDescent="0.2"/>
    <row r="71" spans="1:6" ht="18" customHeight="1" x14ac:dyDescent="0.2"/>
    <row r="72" spans="1:6" ht="18" customHeight="1" x14ac:dyDescent="0.2"/>
  </sheetData>
  <phoneticPr fontId="5" type="noConversion"/>
  <pageMargins left="0.5" right="0.5" top="1" bottom="1" header="0.5" footer="0.5"/>
  <pageSetup orientation="portrait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F63"/>
  <sheetViews>
    <sheetView view="pageLayout" topLeftCell="A39" zoomScale="125" zoomScaleNormal="100" zoomScalePageLayoutView="125" workbookViewId="0">
      <selection activeCell="D17" sqref="D17"/>
    </sheetView>
  </sheetViews>
  <sheetFormatPr baseColWidth="10" defaultColWidth="10.6640625" defaultRowHeight="18" customHeight="1" x14ac:dyDescent="0.2"/>
  <cols>
    <col min="1" max="1" width="10.6640625" style="18"/>
    <col min="2" max="2" width="10.6640625" style="28"/>
    <col min="3" max="3" width="13.5" style="18" customWidth="1"/>
    <col min="4" max="4" width="6.5" style="30" customWidth="1"/>
    <col min="5" max="5" width="21.33203125" style="18" customWidth="1"/>
    <col min="6" max="6" width="13.33203125" style="18" customWidth="1"/>
    <col min="7" max="16384" width="10.6640625" style="18"/>
  </cols>
  <sheetData>
    <row r="1" spans="1:6" s="25" customFormat="1" ht="18" customHeight="1" x14ac:dyDescent="0.2">
      <c r="A1" s="6" t="s">
        <v>293</v>
      </c>
      <c r="B1" s="27" t="s">
        <v>294</v>
      </c>
      <c r="C1" s="6" t="s">
        <v>229</v>
      </c>
      <c r="D1" s="29" t="s">
        <v>230</v>
      </c>
      <c r="E1" s="6" t="s">
        <v>152</v>
      </c>
      <c r="F1" s="6" t="s">
        <v>86</v>
      </c>
    </row>
    <row r="2" spans="1:6" ht="18" customHeight="1" x14ac:dyDescent="0.2">
      <c r="A2" s="18" t="s">
        <v>349</v>
      </c>
      <c r="B2" s="26">
        <v>0.625</v>
      </c>
      <c r="C2" s="18" t="s">
        <v>280</v>
      </c>
      <c r="D2" s="30" t="s">
        <v>352</v>
      </c>
      <c r="F2" s="18" t="s">
        <v>27</v>
      </c>
    </row>
    <row r="3" spans="1:6" ht="18" customHeight="1" x14ac:dyDescent="0.2">
      <c r="A3" s="18" t="s">
        <v>350</v>
      </c>
      <c r="B3" s="28">
        <v>0.83333333333333337</v>
      </c>
      <c r="C3" s="18" t="s">
        <v>351</v>
      </c>
      <c r="D3" s="30">
        <v>455</v>
      </c>
      <c r="F3" s="18" t="s">
        <v>27</v>
      </c>
    </row>
    <row r="4" spans="1:6" ht="28" customHeight="1" x14ac:dyDescent="0.2">
      <c r="A4" s="18" t="s">
        <v>353</v>
      </c>
      <c r="B4" s="26">
        <v>0.625</v>
      </c>
      <c r="C4" s="18" t="s">
        <v>354</v>
      </c>
      <c r="D4" s="30" t="s">
        <v>359</v>
      </c>
      <c r="E4" s="31" t="s">
        <v>360</v>
      </c>
      <c r="F4" s="18" t="s">
        <v>27</v>
      </c>
    </row>
    <row r="5" spans="1:6" ht="18" customHeight="1" x14ac:dyDescent="0.2">
      <c r="A5" s="18" t="s">
        <v>355</v>
      </c>
      <c r="B5" s="28">
        <v>0.83333333333333337</v>
      </c>
      <c r="C5" s="18" t="s">
        <v>356</v>
      </c>
      <c r="D5" s="30" t="s">
        <v>361</v>
      </c>
      <c r="F5" s="18" t="s">
        <v>27</v>
      </c>
    </row>
    <row r="6" spans="1:6" ht="18" customHeight="1" x14ac:dyDescent="0.2">
      <c r="A6" s="18" t="s">
        <v>357</v>
      </c>
      <c r="B6" s="28">
        <v>0.83333333333333337</v>
      </c>
      <c r="C6" s="18" t="s">
        <v>358</v>
      </c>
      <c r="D6" s="30" t="s">
        <v>362</v>
      </c>
      <c r="F6" s="18" t="s">
        <v>27</v>
      </c>
    </row>
    <row r="7" spans="1:6" ht="18" customHeight="1" x14ac:dyDescent="0.2">
      <c r="A7" s="18" t="s">
        <v>363</v>
      </c>
      <c r="B7" s="28">
        <v>0.83333333333333337</v>
      </c>
      <c r="C7" s="18" t="s">
        <v>324</v>
      </c>
      <c r="D7" s="30" t="s">
        <v>365</v>
      </c>
      <c r="E7" s="18" t="s">
        <v>367</v>
      </c>
      <c r="F7" s="18" t="s">
        <v>27</v>
      </c>
    </row>
    <row r="8" spans="1:6" ht="18" customHeight="1" x14ac:dyDescent="0.2">
      <c r="A8" s="18" t="s">
        <v>364</v>
      </c>
      <c r="B8" s="28">
        <v>0.625</v>
      </c>
      <c r="C8" s="18" t="s">
        <v>324</v>
      </c>
      <c r="D8" s="30" t="s">
        <v>366</v>
      </c>
      <c r="E8" s="18">
        <v>556</v>
      </c>
      <c r="F8" s="18" t="s">
        <v>27</v>
      </c>
    </row>
    <row r="9" spans="1:6" ht="18" customHeight="1" x14ac:dyDescent="0.2">
      <c r="A9" s="18" t="s">
        <v>368</v>
      </c>
      <c r="B9" s="28">
        <v>0.84375</v>
      </c>
      <c r="C9" s="18" t="s">
        <v>56</v>
      </c>
      <c r="D9" s="30" t="s">
        <v>378</v>
      </c>
      <c r="F9" s="18" t="s">
        <v>88</v>
      </c>
    </row>
    <row r="10" spans="1:6" ht="18" customHeight="1" x14ac:dyDescent="0.2">
      <c r="A10" s="18" t="s">
        <v>369</v>
      </c>
      <c r="B10" s="28">
        <v>0.83333333333333337</v>
      </c>
      <c r="C10" s="18" t="s">
        <v>370</v>
      </c>
      <c r="D10" s="30" t="s">
        <v>373</v>
      </c>
      <c r="F10" s="18" t="s">
        <v>87</v>
      </c>
    </row>
    <row r="11" spans="1:6" ht="31" customHeight="1" x14ac:dyDescent="0.2">
      <c r="A11" s="18" t="s">
        <v>371</v>
      </c>
      <c r="B11" s="28">
        <v>0.625</v>
      </c>
      <c r="C11" s="32" t="s">
        <v>372</v>
      </c>
      <c r="D11" s="30" t="s">
        <v>374</v>
      </c>
      <c r="E11" s="18" t="s">
        <v>375</v>
      </c>
      <c r="F11" s="18" t="s">
        <v>87</v>
      </c>
    </row>
    <row r="12" spans="1:6" ht="18" customHeight="1" x14ac:dyDescent="0.2">
      <c r="A12" s="18" t="s">
        <v>376</v>
      </c>
      <c r="B12" s="28">
        <v>0.625</v>
      </c>
      <c r="C12" s="18" t="s">
        <v>377</v>
      </c>
      <c r="D12" s="30" t="s">
        <v>379</v>
      </c>
      <c r="E12" s="18" t="s">
        <v>380</v>
      </c>
      <c r="F12" s="18" t="s">
        <v>87</v>
      </c>
    </row>
    <row r="13" spans="1:6" ht="18" customHeight="1" x14ac:dyDescent="0.2">
      <c r="A13" s="18" t="s">
        <v>381</v>
      </c>
      <c r="B13" s="28">
        <v>0.83333333333333337</v>
      </c>
      <c r="C13" s="18" t="s">
        <v>382</v>
      </c>
      <c r="D13" s="30" t="s">
        <v>386</v>
      </c>
      <c r="F13" s="18" t="s">
        <v>87</v>
      </c>
    </row>
    <row r="14" spans="1:6" ht="18" customHeight="1" x14ac:dyDescent="0.2">
      <c r="A14" s="18" t="s">
        <v>384</v>
      </c>
      <c r="B14" s="28">
        <v>0.83333333333333337</v>
      </c>
      <c r="C14" s="18" t="s">
        <v>385</v>
      </c>
      <c r="F14" s="18" t="s">
        <v>88</v>
      </c>
    </row>
    <row r="15" spans="1:6" ht="18" customHeight="1" x14ac:dyDescent="0.2">
      <c r="A15" s="18" t="s">
        <v>383</v>
      </c>
      <c r="B15" s="28">
        <v>0.625</v>
      </c>
      <c r="C15" s="18" t="s">
        <v>382</v>
      </c>
      <c r="D15" s="30" t="s">
        <v>387</v>
      </c>
      <c r="E15" s="18" t="s">
        <v>393</v>
      </c>
      <c r="F15" s="18" t="s">
        <v>87</v>
      </c>
    </row>
    <row r="16" spans="1:6" ht="18" customHeight="1" x14ac:dyDescent="0.2">
      <c r="A16" s="18" t="s">
        <v>388</v>
      </c>
      <c r="B16" s="28">
        <v>0.83333333333333337</v>
      </c>
      <c r="C16" s="18" t="s">
        <v>389</v>
      </c>
      <c r="D16" s="30" t="s">
        <v>404</v>
      </c>
      <c r="F16" s="18" t="s">
        <v>88</v>
      </c>
    </row>
    <row r="17" spans="1:6" ht="18" customHeight="1" x14ac:dyDescent="0.2">
      <c r="A17" s="18" t="s">
        <v>391</v>
      </c>
      <c r="B17" s="28">
        <v>0.83333333333333337</v>
      </c>
      <c r="C17" s="18" t="s">
        <v>392</v>
      </c>
      <c r="D17" s="30" t="s">
        <v>400</v>
      </c>
      <c r="F17" s="18" t="s">
        <v>87</v>
      </c>
    </row>
    <row r="18" spans="1:6" ht="18" customHeight="1" x14ac:dyDescent="0.2">
      <c r="A18" s="18" t="s">
        <v>395</v>
      </c>
      <c r="B18" s="28">
        <v>0.83333333333333337</v>
      </c>
      <c r="C18" s="18" t="s">
        <v>394</v>
      </c>
      <c r="D18" s="30" t="s">
        <v>399</v>
      </c>
      <c r="F18" s="18" t="s">
        <v>390</v>
      </c>
    </row>
    <row r="19" spans="1:6" ht="18" customHeight="1" x14ac:dyDescent="0.2">
      <c r="A19" s="18" t="s">
        <v>396</v>
      </c>
      <c r="B19" s="28">
        <v>0.625</v>
      </c>
      <c r="C19" s="18" t="s">
        <v>392</v>
      </c>
      <c r="D19" s="30" t="s">
        <v>401</v>
      </c>
      <c r="F19" s="18" t="s">
        <v>87</v>
      </c>
    </row>
    <row r="20" spans="1:6" ht="18" customHeight="1" x14ac:dyDescent="0.2">
      <c r="A20" s="18" t="s">
        <v>396</v>
      </c>
      <c r="B20" s="28">
        <v>0.83333333333333337</v>
      </c>
      <c r="C20" s="18" t="s">
        <v>394</v>
      </c>
      <c r="D20" s="30" t="s">
        <v>90</v>
      </c>
      <c r="F20" s="18" t="s">
        <v>390</v>
      </c>
    </row>
    <row r="21" spans="1:6" ht="18" customHeight="1" x14ac:dyDescent="0.2">
      <c r="A21" s="18" t="s">
        <v>397</v>
      </c>
      <c r="B21" s="28">
        <v>0.83333333333333337</v>
      </c>
      <c r="C21" s="18" t="s">
        <v>398</v>
      </c>
      <c r="D21" s="30" t="s">
        <v>405</v>
      </c>
      <c r="F21" s="18" t="s">
        <v>87</v>
      </c>
    </row>
    <row r="22" spans="1:6" ht="18" customHeight="1" x14ac:dyDescent="0.2">
      <c r="A22" s="18" t="s">
        <v>402</v>
      </c>
      <c r="B22" s="28">
        <v>0.79166666666666663</v>
      </c>
      <c r="C22" s="18" t="s">
        <v>56</v>
      </c>
      <c r="D22" s="30" t="s">
        <v>90</v>
      </c>
      <c r="F22" s="18" t="s">
        <v>88</v>
      </c>
    </row>
    <row r="23" spans="1:6" ht="18" customHeight="1" x14ac:dyDescent="0.2">
      <c r="A23" s="18" t="s">
        <v>403</v>
      </c>
      <c r="B23" s="28">
        <v>0.79166666666666663</v>
      </c>
      <c r="C23" s="18" t="s">
        <v>56</v>
      </c>
      <c r="D23" s="30" t="s">
        <v>90</v>
      </c>
      <c r="F23" s="18" t="s">
        <v>88</v>
      </c>
    </row>
    <row r="24" spans="1:6" customFormat="1" ht="24" customHeight="1" x14ac:dyDescent="0.2">
      <c r="A24" s="15"/>
      <c r="B24" s="15"/>
      <c r="C24" s="15"/>
      <c r="D24" s="35"/>
      <c r="E24" s="15"/>
      <c r="F24" s="15"/>
    </row>
    <row r="25" spans="1:6" ht="18" customHeight="1" x14ac:dyDescent="0.2">
      <c r="A25" s="18" t="s">
        <v>409</v>
      </c>
      <c r="B25" s="28">
        <v>0.83333333333333337</v>
      </c>
      <c r="C25" s="18" t="s">
        <v>10</v>
      </c>
      <c r="D25" s="30" t="s">
        <v>90</v>
      </c>
      <c r="F25" s="18" t="s">
        <v>88</v>
      </c>
    </row>
    <row r="26" spans="1:6" ht="18" customHeight="1" x14ac:dyDescent="0.2">
      <c r="A26" s="18" t="s">
        <v>410</v>
      </c>
      <c r="B26" s="28">
        <v>0.83333333333333337</v>
      </c>
      <c r="C26" s="18" t="s">
        <v>10</v>
      </c>
      <c r="D26" s="30" t="s">
        <v>411</v>
      </c>
      <c r="F26" s="18" t="s">
        <v>87</v>
      </c>
    </row>
    <row r="27" spans="1:6" ht="18" customHeight="1" x14ac:dyDescent="0.2">
      <c r="A27" s="18" t="s">
        <v>412</v>
      </c>
      <c r="B27" s="28">
        <v>0.6875</v>
      </c>
      <c r="C27" s="18" t="s">
        <v>413</v>
      </c>
      <c r="D27" s="30" t="s">
        <v>90</v>
      </c>
      <c r="F27" s="18" t="s">
        <v>88</v>
      </c>
    </row>
    <row r="28" spans="1:6" ht="18" customHeight="1" x14ac:dyDescent="0.2">
      <c r="A28" s="18" t="s">
        <v>414</v>
      </c>
      <c r="B28" s="28">
        <v>0.625</v>
      </c>
      <c r="C28" s="18" t="s">
        <v>415</v>
      </c>
      <c r="D28" s="30" t="s">
        <v>416</v>
      </c>
      <c r="F28" s="18" t="s">
        <v>87</v>
      </c>
    </row>
    <row r="29" spans="1:6" ht="18" customHeight="1" x14ac:dyDescent="0.2">
      <c r="A29" s="18" t="s">
        <v>417</v>
      </c>
      <c r="B29" s="28">
        <v>0.83333333333333337</v>
      </c>
      <c r="C29" s="18" t="s">
        <v>418</v>
      </c>
      <c r="D29" s="30" t="s">
        <v>504</v>
      </c>
      <c r="F29" s="18" t="s">
        <v>87</v>
      </c>
    </row>
    <row r="30" spans="1:6" ht="18" customHeight="1" x14ac:dyDescent="0.2">
      <c r="A30" s="18" t="s">
        <v>421</v>
      </c>
      <c r="B30" s="28">
        <v>0.84375</v>
      </c>
      <c r="C30" s="18" t="s">
        <v>56</v>
      </c>
      <c r="D30" s="30" t="s">
        <v>422</v>
      </c>
      <c r="F30" s="18" t="s">
        <v>88</v>
      </c>
    </row>
    <row r="31" spans="1:6" ht="18" customHeight="1" x14ac:dyDescent="0.2">
      <c r="A31" s="18" t="s">
        <v>419</v>
      </c>
      <c r="B31" s="28">
        <v>0.625</v>
      </c>
      <c r="C31" s="18" t="s">
        <v>420</v>
      </c>
      <c r="D31" s="30" t="s">
        <v>423</v>
      </c>
      <c r="F31" s="18" t="s">
        <v>88</v>
      </c>
    </row>
    <row r="32" spans="1:6" ht="18" customHeight="1" x14ac:dyDescent="0.2">
      <c r="A32" s="18" t="s">
        <v>424</v>
      </c>
      <c r="B32" s="28">
        <v>0.83333333333333337</v>
      </c>
      <c r="C32" s="18" t="s">
        <v>425</v>
      </c>
      <c r="D32" s="30" t="s">
        <v>439</v>
      </c>
      <c r="F32" s="18" t="s">
        <v>87</v>
      </c>
    </row>
    <row r="33" spans="1:6" ht="18" customHeight="1" x14ac:dyDescent="0.2">
      <c r="A33" s="18" t="s">
        <v>426</v>
      </c>
      <c r="B33" s="28">
        <v>0.83333333333333337</v>
      </c>
      <c r="C33" s="18" t="s">
        <v>427</v>
      </c>
      <c r="D33" s="30" t="s">
        <v>440</v>
      </c>
      <c r="F33" s="18" t="s">
        <v>87</v>
      </c>
    </row>
    <row r="34" spans="1:6" ht="18" customHeight="1" x14ac:dyDescent="0.2">
      <c r="A34" s="18" t="s">
        <v>428</v>
      </c>
      <c r="B34" s="28">
        <v>0.625</v>
      </c>
      <c r="C34" s="18" t="s">
        <v>425</v>
      </c>
      <c r="D34" s="30" t="s">
        <v>441</v>
      </c>
      <c r="F34" s="18" t="s">
        <v>87</v>
      </c>
    </row>
    <row r="35" spans="1:6" ht="18" customHeight="1" x14ac:dyDescent="0.2">
      <c r="A35" s="18" t="s">
        <v>429</v>
      </c>
      <c r="B35" s="28">
        <v>0.84375</v>
      </c>
      <c r="C35" s="18" t="s">
        <v>430</v>
      </c>
      <c r="D35" s="30" t="s">
        <v>445</v>
      </c>
      <c r="F35" s="18" t="s">
        <v>87</v>
      </c>
    </row>
    <row r="36" spans="1:6" ht="18" customHeight="1" x14ac:dyDescent="0.2">
      <c r="A36" s="18" t="s">
        <v>442</v>
      </c>
      <c r="B36" s="28">
        <v>0.84375</v>
      </c>
      <c r="C36" s="18" t="s">
        <v>443</v>
      </c>
      <c r="D36" s="30" t="s">
        <v>444</v>
      </c>
      <c r="E36" s="18" t="s">
        <v>450</v>
      </c>
      <c r="F36" s="18" t="s">
        <v>88</v>
      </c>
    </row>
    <row r="37" spans="1:6" ht="18" customHeight="1" x14ac:dyDescent="0.2">
      <c r="A37" s="18" t="s">
        <v>431</v>
      </c>
      <c r="B37" s="28">
        <v>0.83333333333333337</v>
      </c>
      <c r="C37" s="18" t="s">
        <v>432</v>
      </c>
      <c r="D37" s="30" t="s">
        <v>446</v>
      </c>
      <c r="E37" s="18" t="s">
        <v>449</v>
      </c>
      <c r="F37" s="18" t="s">
        <v>87</v>
      </c>
    </row>
    <row r="38" spans="1:6" ht="18" customHeight="1" x14ac:dyDescent="0.2">
      <c r="A38" s="18" t="s">
        <v>433</v>
      </c>
      <c r="B38" s="28">
        <v>0.625</v>
      </c>
      <c r="C38" s="18" t="s">
        <v>58</v>
      </c>
      <c r="D38" s="30" t="s">
        <v>447</v>
      </c>
      <c r="E38" s="18" t="s">
        <v>448</v>
      </c>
      <c r="F38" s="18" t="s">
        <v>87</v>
      </c>
    </row>
    <row r="39" spans="1:6" ht="18" customHeight="1" x14ac:dyDescent="0.2">
      <c r="A39" s="18" t="s">
        <v>434</v>
      </c>
      <c r="B39" s="28">
        <v>0.84375</v>
      </c>
      <c r="C39" s="18" t="s">
        <v>56</v>
      </c>
      <c r="D39" s="30" t="s">
        <v>468</v>
      </c>
      <c r="F39" s="18" t="s">
        <v>88</v>
      </c>
    </row>
    <row r="40" spans="1:6" ht="18" customHeight="1" x14ac:dyDescent="0.2">
      <c r="A40" s="18" t="s">
        <v>435</v>
      </c>
      <c r="B40" s="28">
        <v>0.83333333333333337</v>
      </c>
      <c r="C40" s="18" t="s">
        <v>436</v>
      </c>
      <c r="D40" s="30" t="s">
        <v>469</v>
      </c>
      <c r="F40" s="18" t="s">
        <v>88</v>
      </c>
    </row>
    <row r="41" spans="1:6" ht="18" customHeight="1" x14ac:dyDescent="0.2">
      <c r="A41" s="18" t="s">
        <v>437</v>
      </c>
      <c r="B41" s="28">
        <v>0.83333333333333337</v>
      </c>
      <c r="C41" s="18" t="s">
        <v>438</v>
      </c>
      <c r="D41" s="30" t="s">
        <v>470</v>
      </c>
      <c r="F41" s="18" t="s">
        <v>87</v>
      </c>
    </row>
    <row r="42" spans="1:6" ht="18" customHeight="1" x14ac:dyDescent="0.2">
      <c r="A42" s="18" t="s">
        <v>464</v>
      </c>
      <c r="B42" s="28">
        <v>0.625</v>
      </c>
      <c r="C42" s="18" t="s">
        <v>465</v>
      </c>
      <c r="D42" s="30" t="s">
        <v>466</v>
      </c>
      <c r="E42" s="18" t="s">
        <v>467</v>
      </c>
      <c r="F42" s="18" t="s">
        <v>87</v>
      </c>
    </row>
    <row r="43" spans="1:6" ht="18" customHeight="1" x14ac:dyDescent="0.2">
      <c r="A43" s="18" t="s">
        <v>451</v>
      </c>
      <c r="B43" s="28">
        <v>0.83333333333333337</v>
      </c>
      <c r="C43" s="18" t="s">
        <v>452</v>
      </c>
      <c r="D43" s="30" t="s">
        <v>453</v>
      </c>
      <c r="F43" s="18" t="s">
        <v>88</v>
      </c>
    </row>
    <row r="44" spans="1:6" ht="18" customHeight="1" x14ac:dyDescent="0.2">
      <c r="A44" s="18" t="s">
        <v>454</v>
      </c>
      <c r="B44" s="28">
        <v>0.83333333333333337</v>
      </c>
      <c r="C44" s="18" t="s">
        <v>455</v>
      </c>
      <c r="D44" s="30" t="s">
        <v>456</v>
      </c>
      <c r="F44" s="18" t="s">
        <v>88</v>
      </c>
    </row>
    <row r="45" spans="1:6" ht="18" customHeight="1" x14ac:dyDescent="0.2">
      <c r="A45" s="18" t="s">
        <v>457</v>
      </c>
      <c r="B45" s="28">
        <v>0.625</v>
      </c>
      <c r="C45" s="18" t="s">
        <v>458</v>
      </c>
      <c r="D45" s="30" t="s">
        <v>90</v>
      </c>
      <c r="E45" s="18" t="s">
        <v>471</v>
      </c>
      <c r="F45" s="18" t="s">
        <v>88</v>
      </c>
    </row>
    <row r="46" spans="1:6" ht="18" customHeight="1" x14ac:dyDescent="0.2">
      <c r="A46" s="18" t="s">
        <v>459</v>
      </c>
      <c r="B46" s="28">
        <v>0.79166666666666663</v>
      </c>
      <c r="C46" s="18" t="s">
        <v>460</v>
      </c>
      <c r="D46" s="30" t="s">
        <v>361</v>
      </c>
      <c r="F46" s="18" t="s">
        <v>88</v>
      </c>
    </row>
    <row r="47" spans="1:6" ht="18" customHeight="1" x14ac:dyDescent="0.2">
      <c r="A47" s="18" t="s">
        <v>461</v>
      </c>
      <c r="B47" s="28">
        <v>0.83333333333333337</v>
      </c>
      <c r="C47" s="18" t="s">
        <v>462</v>
      </c>
      <c r="D47" s="30" t="s">
        <v>463</v>
      </c>
      <c r="F47" s="18" t="s">
        <v>88</v>
      </c>
    </row>
    <row r="48" spans="1:6" ht="18" customHeight="1" x14ac:dyDescent="0.2">
      <c r="A48" s="34" t="s">
        <v>472</v>
      </c>
      <c r="B48" s="28">
        <v>0.83333333333333337</v>
      </c>
      <c r="C48" s="18" t="s">
        <v>473</v>
      </c>
      <c r="D48" s="30" t="s">
        <v>474</v>
      </c>
      <c r="F48" s="18" t="s">
        <v>87</v>
      </c>
    </row>
    <row r="49" spans="1:6" ht="18" customHeight="1" x14ac:dyDescent="0.2">
      <c r="A49" s="18" t="s">
        <v>475</v>
      </c>
      <c r="B49" s="28">
        <v>0.625</v>
      </c>
      <c r="C49" s="18" t="s">
        <v>473</v>
      </c>
      <c r="D49" s="30" t="s">
        <v>476</v>
      </c>
      <c r="E49" s="18" t="s">
        <v>477</v>
      </c>
      <c r="F49" s="18" t="s">
        <v>87</v>
      </c>
    </row>
    <row r="50" spans="1:6" ht="18" customHeight="1" x14ac:dyDescent="0.2">
      <c r="A50" s="18" t="s">
        <v>485</v>
      </c>
      <c r="B50" s="28">
        <v>0.83333333333333337</v>
      </c>
      <c r="C50" s="18" t="s">
        <v>486</v>
      </c>
      <c r="D50" s="30" t="s">
        <v>444</v>
      </c>
      <c r="F50" s="18" t="s">
        <v>88</v>
      </c>
    </row>
    <row r="51" spans="1:6" ht="18" customHeight="1" x14ac:dyDescent="0.2">
      <c r="A51" s="18" t="s">
        <v>478</v>
      </c>
      <c r="B51" s="28">
        <v>0.83333333333333337</v>
      </c>
      <c r="C51" s="18" t="s">
        <v>479</v>
      </c>
      <c r="D51" s="30" t="s">
        <v>495</v>
      </c>
      <c r="F51" s="18" t="s">
        <v>87</v>
      </c>
    </row>
    <row r="52" spans="1:6" ht="18" customHeight="1" x14ac:dyDescent="0.2">
      <c r="A52" s="18" t="s">
        <v>487</v>
      </c>
      <c r="B52" s="28">
        <v>0.83333333333333337</v>
      </c>
      <c r="C52" s="18" t="s">
        <v>488</v>
      </c>
      <c r="D52" s="30" t="s">
        <v>503</v>
      </c>
      <c r="F52" s="18" t="s">
        <v>88</v>
      </c>
    </row>
    <row r="53" spans="1:6" ht="18" customHeight="1" x14ac:dyDescent="0.2">
      <c r="A53" s="18" t="s">
        <v>480</v>
      </c>
      <c r="B53" s="28">
        <v>0.46875</v>
      </c>
      <c r="C53" s="18" t="s">
        <v>382</v>
      </c>
      <c r="D53" s="30" t="s">
        <v>496</v>
      </c>
      <c r="F53" s="18" t="s">
        <v>87</v>
      </c>
    </row>
    <row r="54" spans="1:6" ht="18" customHeight="1" x14ac:dyDescent="0.2">
      <c r="A54" s="18" t="s">
        <v>480</v>
      </c>
      <c r="B54" s="28">
        <v>0.5625</v>
      </c>
      <c r="C54" s="18" t="s">
        <v>479</v>
      </c>
      <c r="D54" s="30" t="s">
        <v>497</v>
      </c>
      <c r="F54" s="18" t="s">
        <v>87</v>
      </c>
    </row>
    <row r="55" spans="1:6" ht="18" customHeight="1" x14ac:dyDescent="0.2">
      <c r="A55" s="18" t="s">
        <v>481</v>
      </c>
      <c r="B55" s="28">
        <v>0.39583333333333331</v>
      </c>
      <c r="C55" s="18" t="s">
        <v>482</v>
      </c>
      <c r="D55" s="30" t="s">
        <v>498</v>
      </c>
      <c r="F55" s="18" t="s">
        <v>87</v>
      </c>
    </row>
    <row r="56" spans="1:6" ht="18" customHeight="1" x14ac:dyDescent="0.2">
      <c r="A56" s="18" t="s">
        <v>481</v>
      </c>
      <c r="B56" s="28">
        <v>0.83333333333333337</v>
      </c>
      <c r="C56" s="18" t="s">
        <v>382</v>
      </c>
      <c r="D56" s="30" t="s">
        <v>499</v>
      </c>
      <c r="F56" s="18" t="s">
        <v>87</v>
      </c>
    </row>
    <row r="57" spans="1:6" ht="18" customHeight="1" x14ac:dyDescent="0.2">
      <c r="A57" s="18" t="s">
        <v>483</v>
      </c>
      <c r="B57" s="28">
        <v>0.83333333333333337</v>
      </c>
      <c r="C57" s="18" t="s">
        <v>484</v>
      </c>
      <c r="D57" s="30" t="s">
        <v>500</v>
      </c>
      <c r="F57" s="18" t="s">
        <v>87</v>
      </c>
    </row>
    <row r="58" spans="1:6" ht="18" customHeight="1" x14ac:dyDescent="0.2">
      <c r="A58" s="18" t="s">
        <v>489</v>
      </c>
      <c r="B58" s="28">
        <v>0.79166666666666663</v>
      </c>
      <c r="C58" s="18" t="s">
        <v>56</v>
      </c>
      <c r="D58" s="30" t="s">
        <v>501</v>
      </c>
      <c r="F58" s="18" t="s">
        <v>88</v>
      </c>
    </row>
    <row r="59" spans="1:6" ht="18" customHeight="1" x14ac:dyDescent="0.2">
      <c r="A59" s="18" t="s">
        <v>490</v>
      </c>
      <c r="B59" s="28">
        <v>0.79166666666666663</v>
      </c>
      <c r="C59" s="18" t="s">
        <v>56</v>
      </c>
      <c r="D59" s="30" t="s">
        <v>502</v>
      </c>
      <c r="F59" s="18" t="s">
        <v>88</v>
      </c>
    </row>
    <row r="60" spans="1:6" ht="18" customHeight="1" x14ac:dyDescent="0.2">
      <c r="A60" s="18" t="s">
        <v>491</v>
      </c>
      <c r="B60" s="28">
        <v>0.83333333333333337</v>
      </c>
      <c r="C60" s="18" t="s">
        <v>492</v>
      </c>
      <c r="D60" s="30" t="s">
        <v>502</v>
      </c>
      <c r="F60" s="18" t="s">
        <v>88</v>
      </c>
    </row>
    <row r="61" spans="1:6" ht="18" customHeight="1" x14ac:dyDescent="0.2">
      <c r="A61" s="34" t="s">
        <v>493</v>
      </c>
      <c r="B61" s="28">
        <v>0.64583333333333337</v>
      </c>
      <c r="C61" s="18" t="s">
        <v>494</v>
      </c>
      <c r="D61" s="30" t="s">
        <v>507</v>
      </c>
      <c r="F61" s="18" t="s">
        <v>87</v>
      </c>
    </row>
    <row r="62" spans="1:6" ht="18" customHeight="1" x14ac:dyDescent="0.2">
      <c r="A62" s="34" t="s">
        <v>493</v>
      </c>
      <c r="B62" s="28">
        <v>0.70833333333333337</v>
      </c>
      <c r="C62" s="18" t="s">
        <v>505</v>
      </c>
      <c r="D62" s="30" t="s">
        <v>506</v>
      </c>
      <c r="F62" s="18" t="s">
        <v>88</v>
      </c>
    </row>
    <row r="63" spans="1:6" ht="18" customHeight="1" x14ac:dyDescent="0.2">
      <c r="A63" s="18" t="s">
        <v>508</v>
      </c>
      <c r="B63" s="28">
        <v>0.83333333333333337</v>
      </c>
      <c r="C63" s="18" t="s">
        <v>509</v>
      </c>
      <c r="D63" s="30" t="s">
        <v>510</v>
      </c>
      <c r="E63" s="18" t="s">
        <v>511</v>
      </c>
      <c r="F63" s="18" t="s">
        <v>87</v>
      </c>
    </row>
  </sheetData>
  <phoneticPr fontId="5" type="noConversion"/>
  <pageMargins left="0.5" right="0.5" top="0.7" bottom="0.5" header="0.5" footer="0.5"/>
  <pageSetup orientation="portrait" horizontalDpi="4294967292" verticalDpi="429496729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F62"/>
  <sheetViews>
    <sheetView topLeftCell="A29" zoomScale="125" zoomScaleNormal="125" zoomScalePageLayoutView="125" workbookViewId="0">
      <selection activeCell="C21" sqref="C21"/>
    </sheetView>
  </sheetViews>
  <sheetFormatPr baseColWidth="10" defaultRowHeight="14" x14ac:dyDescent="0.2"/>
  <cols>
    <col min="1" max="1" width="10.6640625" style="20" customWidth="1"/>
    <col min="2" max="2" width="5.6640625" style="21" customWidth="1"/>
    <col min="3" max="3" width="18.5" style="20" customWidth="1"/>
    <col min="4" max="4" width="10.33203125" style="20" customWidth="1"/>
    <col min="5" max="5" width="20.83203125" style="20" customWidth="1"/>
    <col min="6" max="6" width="13.1640625" style="20" customWidth="1"/>
  </cols>
  <sheetData>
    <row r="1" spans="1:6" ht="16" x14ac:dyDescent="0.2">
      <c r="A1" s="7" t="s">
        <v>293</v>
      </c>
      <c r="B1" s="24" t="s">
        <v>294</v>
      </c>
      <c r="C1" s="8" t="s">
        <v>229</v>
      </c>
      <c r="D1" s="8" t="s">
        <v>230</v>
      </c>
      <c r="E1" s="8" t="s">
        <v>152</v>
      </c>
      <c r="F1" s="8" t="s">
        <v>86</v>
      </c>
    </row>
    <row r="2" spans="1:6" x14ac:dyDescent="0.2">
      <c r="A2" s="20" t="s">
        <v>279</v>
      </c>
      <c r="B2" s="21">
        <v>0.625</v>
      </c>
      <c r="C2" s="20" t="s">
        <v>280</v>
      </c>
      <c r="D2" s="20">
        <v>167</v>
      </c>
      <c r="E2" s="20" t="s">
        <v>281</v>
      </c>
      <c r="F2" s="20" t="s">
        <v>282</v>
      </c>
    </row>
    <row r="3" spans="1:6" x14ac:dyDescent="0.2">
      <c r="A3" s="20" t="s">
        <v>184</v>
      </c>
      <c r="B3" s="21">
        <v>0.66666666666666663</v>
      </c>
      <c r="C3" s="20" t="s">
        <v>185</v>
      </c>
      <c r="D3" s="20">
        <v>306</v>
      </c>
      <c r="F3" s="20" t="s">
        <v>263</v>
      </c>
    </row>
    <row r="4" spans="1:6" x14ac:dyDescent="0.2">
      <c r="A4" s="20" t="s">
        <v>170</v>
      </c>
      <c r="B4" s="21">
        <v>0.625</v>
      </c>
      <c r="C4" s="20" t="s">
        <v>345</v>
      </c>
      <c r="D4" s="20">
        <v>135</v>
      </c>
      <c r="E4" s="20" t="s">
        <v>54</v>
      </c>
      <c r="F4" s="20" t="s">
        <v>295</v>
      </c>
    </row>
    <row r="5" spans="1:6" x14ac:dyDescent="0.2">
      <c r="A5" s="20" t="s">
        <v>346</v>
      </c>
      <c r="B5" s="21">
        <v>0.83333333333333337</v>
      </c>
      <c r="C5" s="20" t="s">
        <v>347</v>
      </c>
      <c r="D5" s="20">
        <v>209</v>
      </c>
      <c r="F5" s="20" t="s">
        <v>263</v>
      </c>
    </row>
    <row r="6" spans="1:6" x14ac:dyDescent="0.2">
      <c r="A6" s="20" t="s">
        <v>296</v>
      </c>
      <c r="B6" s="21">
        <v>0.625</v>
      </c>
      <c r="C6" s="20" t="s">
        <v>157</v>
      </c>
      <c r="D6" s="20">
        <v>154</v>
      </c>
      <c r="E6" s="20" t="s">
        <v>297</v>
      </c>
      <c r="F6" s="20" t="s">
        <v>263</v>
      </c>
    </row>
    <row r="7" spans="1:6" x14ac:dyDescent="0.2">
      <c r="A7" s="20" t="s">
        <v>158</v>
      </c>
      <c r="B7" s="21">
        <v>0.83333333333333337</v>
      </c>
      <c r="C7" s="20" t="s">
        <v>12</v>
      </c>
      <c r="D7" s="20">
        <v>328</v>
      </c>
      <c r="F7" s="20" t="s">
        <v>263</v>
      </c>
    </row>
    <row r="8" spans="1:6" x14ac:dyDescent="0.2">
      <c r="A8" s="20" t="s">
        <v>13</v>
      </c>
      <c r="B8" s="21">
        <v>0.625</v>
      </c>
      <c r="C8" s="20" t="s">
        <v>12</v>
      </c>
      <c r="D8" s="20">
        <v>231</v>
      </c>
      <c r="E8" s="20" t="s">
        <v>297</v>
      </c>
      <c r="F8" s="20" t="s">
        <v>263</v>
      </c>
    </row>
    <row r="9" spans="1:6" x14ac:dyDescent="0.2">
      <c r="A9" s="20" t="s">
        <v>298</v>
      </c>
      <c r="B9" s="21">
        <v>0.83333333333333337</v>
      </c>
      <c r="C9" s="20" t="s">
        <v>14</v>
      </c>
      <c r="D9" s="20">
        <v>415</v>
      </c>
      <c r="E9" s="20" t="s">
        <v>15</v>
      </c>
      <c r="F9" s="20" t="s">
        <v>263</v>
      </c>
    </row>
    <row r="10" spans="1:6" x14ac:dyDescent="0.2">
      <c r="A10" s="20" t="s">
        <v>160</v>
      </c>
      <c r="B10" s="21">
        <v>0.84375</v>
      </c>
      <c r="C10" s="20" t="s">
        <v>247</v>
      </c>
      <c r="D10" s="20">
        <v>60</v>
      </c>
      <c r="E10" s="20" t="s">
        <v>219</v>
      </c>
      <c r="F10" s="20" t="s">
        <v>262</v>
      </c>
    </row>
    <row r="11" spans="1:6" x14ac:dyDescent="0.2">
      <c r="A11" s="20" t="s">
        <v>205</v>
      </c>
      <c r="B11" s="21">
        <v>0.83333333333333337</v>
      </c>
      <c r="C11" s="20" t="s">
        <v>206</v>
      </c>
      <c r="D11" s="20">
        <v>154</v>
      </c>
      <c r="E11" s="20" t="s">
        <v>53</v>
      </c>
      <c r="F11" s="20" t="s">
        <v>263</v>
      </c>
    </row>
    <row r="12" spans="1:6" x14ac:dyDescent="0.2">
      <c r="A12" s="20" t="s">
        <v>207</v>
      </c>
      <c r="B12" s="21">
        <v>0.625</v>
      </c>
      <c r="C12" s="20" t="s">
        <v>208</v>
      </c>
      <c r="D12" s="20">
        <v>110</v>
      </c>
      <c r="E12" s="20" t="s">
        <v>299</v>
      </c>
      <c r="F12" s="20" t="s">
        <v>263</v>
      </c>
    </row>
    <row r="13" spans="1:6" x14ac:dyDescent="0.2">
      <c r="A13" s="20" t="s">
        <v>28</v>
      </c>
      <c r="B13" s="21">
        <v>0.66666666666666663</v>
      </c>
      <c r="C13" s="20" t="s">
        <v>304</v>
      </c>
      <c r="D13" s="20">
        <v>45</v>
      </c>
      <c r="F13" s="20" t="s">
        <v>300</v>
      </c>
    </row>
    <row r="14" spans="1:6" x14ac:dyDescent="0.2">
      <c r="A14" s="20" t="s">
        <v>305</v>
      </c>
      <c r="B14" s="21">
        <v>0.83333333333333337</v>
      </c>
      <c r="C14" s="20" t="s">
        <v>306</v>
      </c>
      <c r="D14" s="20">
        <v>50</v>
      </c>
      <c r="F14" s="20" t="s">
        <v>262</v>
      </c>
    </row>
    <row r="15" spans="1:6" x14ac:dyDescent="0.2">
      <c r="A15" s="20" t="s">
        <v>212</v>
      </c>
      <c r="B15" s="21">
        <v>0.625</v>
      </c>
      <c r="C15" s="20" t="s">
        <v>314</v>
      </c>
      <c r="D15" s="20">
        <v>195</v>
      </c>
      <c r="E15" s="20" t="s">
        <v>53</v>
      </c>
      <c r="F15" s="20" t="s">
        <v>263</v>
      </c>
    </row>
    <row r="16" spans="1:6" x14ac:dyDescent="0.2">
      <c r="A16" s="20" t="s">
        <v>301</v>
      </c>
      <c r="B16" s="21">
        <v>0.79166666666666663</v>
      </c>
      <c r="C16" s="20" t="s">
        <v>315</v>
      </c>
      <c r="D16" s="22" t="s">
        <v>236</v>
      </c>
      <c r="E16" s="20" t="s">
        <v>237</v>
      </c>
      <c r="F16" s="20" t="s">
        <v>238</v>
      </c>
    </row>
    <row r="17" spans="1:6" x14ac:dyDescent="0.2">
      <c r="A17" s="20" t="s">
        <v>82</v>
      </c>
      <c r="B17" s="21">
        <v>0.83333333333333337</v>
      </c>
      <c r="C17" s="20" t="s">
        <v>127</v>
      </c>
      <c r="D17" s="20">
        <v>88</v>
      </c>
      <c r="F17" s="20" t="s">
        <v>263</v>
      </c>
    </row>
    <row r="18" spans="1:6" x14ac:dyDescent="0.2">
      <c r="A18" s="20" t="s">
        <v>128</v>
      </c>
      <c r="B18" s="21">
        <v>0.83333333333333337</v>
      </c>
      <c r="C18" s="20" t="s">
        <v>129</v>
      </c>
      <c r="D18" s="20">
        <v>102</v>
      </c>
      <c r="F18" s="20" t="s">
        <v>263</v>
      </c>
    </row>
    <row r="19" spans="1:6" x14ac:dyDescent="0.2">
      <c r="A19" s="20" t="s">
        <v>130</v>
      </c>
      <c r="B19" s="21">
        <v>0.625</v>
      </c>
      <c r="C19" s="20" t="s">
        <v>129</v>
      </c>
      <c r="D19" s="20">
        <v>187</v>
      </c>
      <c r="F19" s="20" t="s">
        <v>87</v>
      </c>
    </row>
    <row r="20" spans="1:6" x14ac:dyDescent="0.2">
      <c r="A20" s="20" t="s">
        <v>131</v>
      </c>
      <c r="B20" s="21">
        <v>0.83333333333333337</v>
      </c>
      <c r="C20" s="20" t="s">
        <v>161</v>
      </c>
      <c r="D20" s="20">
        <v>104</v>
      </c>
      <c r="F20" s="20" t="s">
        <v>262</v>
      </c>
    </row>
    <row r="21" spans="1:6" x14ac:dyDescent="0.2">
      <c r="A21" s="20" t="s">
        <v>162</v>
      </c>
      <c r="B21" s="21">
        <v>0.83333333333333337</v>
      </c>
      <c r="C21" s="20" t="s">
        <v>163</v>
      </c>
      <c r="D21" s="20">
        <v>275</v>
      </c>
      <c r="F21" s="20" t="s">
        <v>263</v>
      </c>
    </row>
    <row r="22" spans="1:6" x14ac:dyDescent="0.2">
      <c r="A22" s="20" t="s">
        <v>302</v>
      </c>
      <c r="B22" s="21">
        <v>0.83333333333333337</v>
      </c>
      <c r="C22" s="20" t="s">
        <v>164</v>
      </c>
      <c r="D22" s="20" t="s">
        <v>115</v>
      </c>
      <c r="F22" s="20" t="s">
        <v>116</v>
      </c>
    </row>
    <row r="23" spans="1:6" x14ac:dyDescent="0.2">
      <c r="A23" s="20" t="s">
        <v>165</v>
      </c>
      <c r="B23" s="21">
        <v>0.625</v>
      </c>
      <c r="C23" s="20" t="s">
        <v>163</v>
      </c>
      <c r="D23" s="20">
        <v>308</v>
      </c>
      <c r="F23" s="20" t="s">
        <v>263</v>
      </c>
    </row>
    <row r="24" spans="1:6" x14ac:dyDescent="0.2">
      <c r="A24" s="20" t="s">
        <v>165</v>
      </c>
      <c r="B24" s="21">
        <v>0.83333333333333337</v>
      </c>
      <c r="C24" s="20" t="s">
        <v>164</v>
      </c>
      <c r="D24" s="20" t="s">
        <v>117</v>
      </c>
      <c r="E24" s="20" t="s">
        <v>303</v>
      </c>
      <c r="F24" s="20" t="s">
        <v>116</v>
      </c>
    </row>
    <row r="25" spans="1:6" x14ac:dyDescent="0.2">
      <c r="A25" s="20" t="s">
        <v>166</v>
      </c>
      <c r="B25" s="21">
        <v>0.83333333333333337</v>
      </c>
      <c r="C25" s="20" t="s">
        <v>167</v>
      </c>
      <c r="D25" s="20">
        <v>105</v>
      </c>
      <c r="F25" s="20" t="s">
        <v>263</v>
      </c>
    </row>
    <row r="26" spans="1:6" x14ac:dyDescent="0.2">
      <c r="A26" s="20" t="s">
        <v>168</v>
      </c>
      <c r="B26" s="21">
        <v>0.79166666666666663</v>
      </c>
      <c r="C26" s="20" t="s">
        <v>247</v>
      </c>
      <c r="D26" s="20" t="s">
        <v>115</v>
      </c>
    </row>
    <row r="27" spans="1:6" x14ac:dyDescent="0.2">
      <c r="A27" s="20" t="s">
        <v>169</v>
      </c>
      <c r="B27" s="21">
        <v>0.79166666666666663</v>
      </c>
      <c r="C27" s="20" t="s">
        <v>247</v>
      </c>
      <c r="D27" s="20" t="s">
        <v>115</v>
      </c>
    </row>
    <row r="29" spans="1:6" x14ac:dyDescent="0.2">
      <c r="A29" s="20" t="s">
        <v>80</v>
      </c>
      <c r="B29" s="21">
        <v>0.83333333333333337</v>
      </c>
      <c r="C29" s="20" t="s">
        <v>78</v>
      </c>
      <c r="D29" s="20">
        <v>100</v>
      </c>
      <c r="F29" s="20" t="s">
        <v>262</v>
      </c>
    </row>
    <row r="30" spans="1:6" x14ac:dyDescent="0.2">
      <c r="A30" s="20" t="s">
        <v>81</v>
      </c>
      <c r="B30" s="21">
        <v>0.66666666666666663</v>
      </c>
      <c r="C30" s="20" t="s">
        <v>272</v>
      </c>
      <c r="D30" s="20">
        <v>70</v>
      </c>
      <c r="F30" s="20" t="s">
        <v>262</v>
      </c>
    </row>
    <row r="31" spans="1:6" x14ac:dyDescent="0.2">
      <c r="A31" s="20" t="s">
        <v>81</v>
      </c>
      <c r="B31" s="21">
        <v>0.83333333333333337</v>
      </c>
      <c r="C31" s="20" t="s">
        <v>79</v>
      </c>
      <c r="D31" s="20">
        <v>130</v>
      </c>
      <c r="F31" s="20" t="s">
        <v>262</v>
      </c>
    </row>
    <row r="32" spans="1:6" x14ac:dyDescent="0.2">
      <c r="A32" s="20" t="s">
        <v>253</v>
      </c>
      <c r="B32" s="21">
        <v>0.83333333333333337</v>
      </c>
      <c r="C32" s="20" t="s">
        <v>254</v>
      </c>
      <c r="D32" s="20">
        <v>128</v>
      </c>
      <c r="F32" s="20" t="s">
        <v>263</v>
      </c>
    </row>
    <row r="33" spans="1:6" x14ac:dyDescent="0.2">
      <c r="A33" s="20" t="s">
        <v>255</v>
      </c>
      <c r="B33" s="21">
        <v>0.70833333333333337</v>
      </c>
      <c r="C33" s="20" t="s">
        <v>256</v>
      </c>
      <c r="D33" s="20">
        <v>32</v>
      </c>
      <c r="F33" s="20" t="s">
        <v>262</v>
      </c>
    </row>
    <row r="34" spans="1:6" x14ac:dyDescent="0.2">
      <c r="A34" s="20" t="s">
        <v>255</v>
      </c>
      <c r="B34" s="21">
        <v>0.79166666666666663</v>
      </c>
      <c r="C34" s="20" t="s">
        <v>273</v>
      </c>
      <c r="D34" s="20">
        <v>79</v>
      </c>
      <c r="F34" s="20" t="s">
        <v>263</v>
      </c>
    </row>
    <row r="35" spans="1:6" x14ac:dyDescent="0.2">
      <c r="A35" s="20" t="s">
        <v>257</v>
      </c>
      <c r="B35" s="21">
        <v>0.83333333333333337</v>
      </c>
      <c r="C35" s="20" t="s">
        <v>258</v>
      </c>
      <c r="D35" s="20">
        <v>309</v>
      </c>
      <c r="E35" s="20" t="s">
        <v>407</v>
      </c>
      <c r="F35" s="20" t="s">
        <v>263</v>
      </c>
    </row>
    <row r="36" spans="1:6" x14ac:dyDescent="0.2">
      <c r="A36" s="20" t="s">
        <v>259</v>
      </c>
      <c r="B36" s="21">
        <v>0.625</v>
      </c>
      <c r="C36" s="20" t="s">
        <v>114</v>
      </c>
      <c r="D36" s="20">
        <v>130</v>
      </c>
      <c r="E36" s="20" t="s">
        <v>407</v>
      </c>
      <c r="F36" s="20" t="s">
        <v>263</v>
      </c>
    </row>
    <row r="37" spans="1:6" x14ac:dyDescent="0.2">
      <c r="A37" s="20" t="s">
        <v>29</v>
      </c>
      <c r="B37" s="21">
        <v>0.83333333333333337</v>
      </c>
      <c r="C37" s="20" t="s">
        <v>265</v>
      </c>
      <c r="D37" s="20">
        <v>226</v>
      </c>
      <c r="E37" s="20" t="s">
        <v>318</v>
      </c>
      <c r="F37" s="20" t="s">
        <v>263</v>
      </c>
    </row>
    <row r="38" spans="1:6" x14ac:dyDescent="0.2">
      <c r="A38" s="20" t="s">
        <v>30</v>
      </c>
      <c r="B38" s="21">
        <v>0.625</v>
      </c>
      <c r="C38" s="20" t="s">
        <v>265</v>
      </c>
      <c r="D38" s="20">
        <v>263</v>
      </c>
      <c r="E38" s="20" t="s">
        <v>274</v>
      </c>
      <c r="F38" s="20" t="s">
        <v>263</v>
      </c>
    </row>
    <row r="39" spans="1:6" x14ac:dyDescent="0.2">
      <c r="A39" s="20" t="s">
        <v>69</v>
      </c>
      <c r="B39" s="21">
        <v>0.625</v>
      </c>
      <c r="C39" s="20" t="s">
        <v>70</v>
      </c>
      <c r="D39" s="20">
        <v>203</v>
      </c>
      <c r="F39" s="20" t="s">
        <v>263</v>
      </c>
    </row>
    <row r="40" spans="1:6" x14ac:dyDescent="0.2">
      <c r="A40" s="20" t="s">
        <v>191</v>
      </c>
      <c r="B40" s="21">
        <v>0.83333333333333337</v>
      </c>
      <c r="C40" s="20" t="s">
        <v>192</v>
      </c>
      <c r="D40" s="20">
        <v>104</v>
      </c>
      <c r="F40" s="20" t="s">
        <v>263</v>
      </c>
    </row>
    <row r="41" spans="1:6" x14ac:dyDescent="0.2">
      <c r="A41" s="20" t="s">
        <v>193</v>
      </c>
      <c r="B41" s="21">
        <v>0.625</v>
      </c>
      <c r="C41" s="20" t="s">
        <v>194</v>
      </c>
      <c r="D41" s="20" t="s">
        <v>271</v>
      </c>
      <c r="F41" s="20" t="s">
        <v>263</v>
      </c>
    </row>
    <row r="42" spans="1:6" x14ac:dyDescent="0.2">
      <c r="A42" s="20" t="s">
        <v>196</v>
      </c>
      <c r="B42" s="21">
        <v>0.83333333333333337</v>
      </c>
      <c r="C42" s="20" t="s">
        <v>197</v>
      </c>
      <c r="D42" s="20" t="s">
        <v>270</v>
      </c>
      <c r="F42" s="20" t="s">
        <v>262</v>
      </c>
    </row>
    <row r="43" spans="1:6" x14ac:dyDescent="0.2">
      <c r="A43" s="20" t="s">
        <v>275</v>
      </c>
      <c r="B43" s="21">
        <v>0.83333333333333337</v>
      </c>
      <c r="C43" s="20" t="s">
        <v>195</v>
      </c>
      <c r="D43" s="20">
        <v>87</v>
      </c>
      <c r="F43" s="20" t="s">
        <v>263</v>
      </c>
    </row>
    <row r="44" spans="1:6" x14ac:dyDescent="0.2">
      <c r="A44" s="20" t="s">
        <v>198</v>
      </c>
      <c r="B44" s="21">
        <v>0.625</v>
      </c>
      <c r="C44" s="20" t="s">
        <v>199</v>
      </c>
      <c r="D44" s="20">
        <v>77</v>
      </c>
      <c r="F44" s="20" t="s">
        <v>263</v>
      </c>
    </row>
    <row r="45" spans="1:6" x14ac:dyDescent="0.2">
      <c r="A45" s="20" t="s">
        <v>276</v>
      </c>
      <c r="B45" s="21">
        <v>0.83333333333333337</v>
      </c>
      <c r="C45" s="20" t="s">
        <v>200</v>
      </c>
      <c r="D45" s="20">
        <v>131</v>
      </c>
      <c r="F45" s="20" t="s">
        <v>262</v>
      </c>
    </row>
    <row r="46" spans="1:6" x14ac:dyDescent="0.2">
      <c r="A46" s="20" t="s">
        <v>277</v>
      </c>
      <c r="B46" s="21">
        <v>0.83333333333333337</v>
      </c>
      <c r="C46" s="20" t="s">
        <v>98</v>
      </c>
      <c r="D46" s="20">
        <v>444</v>
      </c>
      <c r="F46" s="20" t="s">
        <v>263</v>
      </c>
    </row>
    <row r="47" spans="1:6" x14ac:dyDescent="0.2">
      <c r="A47" s="20" t="s">
        <v>0</v>
      </c>
      <c r="B47" s="21">
        <v>0.83333333333333337</v>
      </c>
      <c r="C47" s="20" t="s">
        <v>1</v>
      </c>
      <c r="D47" s="20">
        <v>60</v>
      </c>
      <c r="F47" s="20" t="s">
        <v>262</v>
      </c>
    </row>
    <row r="48" spans="1:6" x14ac:dyDescent="0.2">
      <c r="A48" s="20" t="s">
        <v>99</v>
      </c>
      <c r="B48" s="21">
        <v>0.625</v>
      </c>
      <c r="C48" s="20" t="s">
        <v>98</v>
      </c>
      <c r="D48" s="20">
        <v>541</v>
      </c>
      <c r="F48" s="20" t="s">
        <v>263</v>
      </c>
    </row>
    <row r="49" spans="1:6" x14ac:dyDescent="0.2">
      <c r="A49" s="20" t="s">
        <v>2</v>
      </c>
      <c r="B49" s="21">
        <v>0.84375</v>
      </c>
      <c r="C49" s="20" t="s">
        <v>247</v>
      </c>
      <c r="F49" s="20" t="s">
        <v>262</v>
      </c>
    </row>
    <row r="50" spans="1:6" x14ac:dyDescent="0.2">
      <c r="A50" s="23" t="s">
        <v>210</v>
      </c>
      <c r="B50" s="21">
        <v>0.83333333333333337</v>
      </c>
      <c r="C50" s="20" t="s">
        <v>211</v>
      </c>
      <c r="D50" s="20">
        <v>86</v>
      </c>
      <c r="F50" s="20" t="s">
        <v>263</v>
      </c>
    </row>
    <row r="51" spans="1:6" x14ac:dyDescent="0.2">
      <c r="A51" s="20" t="s">
        <v>269</v>
      </c>
      <c r="B51" s="21">
        <v>0.83333333333333337</v>
      </c>
      <c r="C51" s="20" t="s">
        <v>292</v>
      </c>
      <c r="D51" s="20">
        <v>80</v>
      </c>
      <c r="F51" s="20" t="s">
        <v>262</v>
      </c>
    </row>
    <row r="52" spans="1:6" x14ac:dyDescent="0.2">
      <c r="A52" s="20" t="s">
        <v>278</v>
      </c>
      <c r="B52" s="21">
        <v>0.84375</v>
      </c>
      <c r="C52" s="20" t="s">
        <v>154</v>
      </c>
      <c r="D52" s="20">
        <v>125</v>
      </c>
      <c r="F52" s="20" t="s">
        <v>262</v>
      </c>
    </row>
    <row r="53" spans="1:6" x14ac:dyDescent="0.2">
      <c r="A53" s="20" t="s">
        <v>285</v>
      </c>
      <c r="B53" s="21">
        <v>0.6875</v>
      </c>
      <c r="C53" s="20" t="s">
        <v>137</v>
      </c>
      <c r="D53" s="20">
        <v>50</v>
      </c>
      <c r="F53" s="20" t="s">
        <v>262</v>
      </c>
    </row>
    <row r="54" spans="1:6" x14ac:dyDescent="0.2">
      <c r="A54" s="20" t="s">
        <v>285</v>
      </c>
      <c r="B54" s="21">
        <v>0.85416666666666663</v>
      </c>
      <c r="C54" s="20" t="s">
        <v>283</v>
      </c>
      <c r="D54" s="20">
        <v>140</v>
      </c>
      <c r="E54" s="20" t="s">
        <v>284</v>
      </c>
      <c r="F54" s="20" t="s">
        <v>262</v>
      </c>
    </row>
    <row r="55" spans="1:6" x14ac:dyDescent="0.2">
      <c r="A55" s="20" t="s">
        <v>286</v>
      </c>
      <c r="B55" s="21">
        <v>0.79166666666666663</v>
      </c>
      <c r="C55" s="20" t="s">
        <v>287</v>
      </c>
      <c r="D55" s="20">
        <v>78</v>
      </c>
      <c r="F55" s="20" t="s">
        <v>262</v>
      </c>
    </row>
    <row r="56" spans="1:6" x14ac:dyDescent="0.2">
      <c r="A56" s="20" t="s">
        <v>288</v>
      </c>
      <c r="B56" s="21">
        <v>0.83333333333333337</v>
      </c>
      <c r="C56" s="20" t="s">
        <v>139</v>
      </c>
      <c r="D56" s="20">
        <v>128</v>
      </c>
      <c r="F56" s="20" t="s">
        <v>263</v>
      </c>
    </row>
    <row r="57" spans="1:6" x14ac:dyDescent="0.2">
      <c r="A57" s="20" t="s">
        <v>289</v>
      </c>
      <c r="B57" s="21">
        <v>0.46875</v>
      </c>
      <c r="C57" s="20" t="s">
        <v>140</v>
      </c>
      <c r="D57" s="20">
        <v>261</v>
      </c>
      <c r="F57" s="20" t="s">
        <v>263</v>
      </c>
    </row>
    <row r="58" spans="1:6" x14ac:dyDescent="0.2">
      <c r="A58" s="20" t="s">
        <v>289</v>
      </c>
      <c r="B58" s="21">
        <v>0.5625</v>
      </c>
      <c r="C58" s="20" t="s">
        <v>139</v>
      </c>
      <c r="D58" s="20">
        <v>378</v>
      </c>
      <c r="F58" s="20" t="s">
        <v>263</v>
      </c>
    </row>
    <row r="59" spans="1:6" x14ac:dyDescent="0.2">
      <c r="A59" s="20" t="s">
        <v>290</v>
      </c>
      <c r="B59" s="21">
        <v>0.83333333333333337</v>
      </c>
      <c r="C59" s="20" t="s">
        <v>140</v>
      </c>
      <c r="D59" s="20">
        <v>85</v>
      </c>
      <c r="F59" s="20" t="s">
        <v>263</v>
      </c>
    </row>
    <row r="60" spans="1:6" x14ac:dyDescent="0.2">
      <c r="A60" s="20" t="s">
        <v>291</v>
      </c>
      <c r="B60" s="21">
        <v>0.83333333333333337</v>
      </c>
      <c r="C60" s="20" t="s">
        <v>245</v>
      </c>
      <c r="D60" s="20">
        <v>152</v>
      </c>
      <c r="F60" s="20" t="s">
        <v>263</v>
      </c>
    </row>
    <row r="61" spans="1:6" x14ac:dyDescent="0.2">
      <c r="A61" s="20" t="s">
        <v>267</v>
      </c>
      <c r="B61" s="21">
        <v>0.79166666666666663</v>
      </c>
      <c r="C61" s="20" t="s">
        <v>247</v>
      </c>
      <c r="F61" s="20" t="s">
        <v>3</v>
      </c>
    </row>
    <row r="62" spans="1:6" x14ac:dyDescent="0.2">
      <c r="A62" s="20" t="s">
        <v>268</v>
      </c>
      <c r="B62" s="21">
        <v>0.79166666666666663</v>
      </c>
      <c r="C62" s="20" t="s">
        <v>247</v>
      </c>
      <c r="F62" s="20" t="s">
        <v>3</v>
      </c>
    </row>
  </sheetData>
  <phoneticPr fontId="5" type="noConversion"/>
  <pageMargins left="0.75" right="0.75" top="1" bottom="1" header="0.5" footer="0.5"/>
  <pageSetup orientation="portrait" horizontalDpi="4294967292" verticalDpi="4294967292"/>
  <headerFooter alignWithMargins="0">
    <oddHeader>&amp;L2010-11 Event Attendance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E77"/>
  <sheetViews>
    <sheetView tabSelected="1" view="pageLayout" zoomScale="125" zoomScaleNormal="100" zoomScalePageLayoutView="125" workbookViewId="0">
      <selection activeCell="C15" sqref="C15"/>
    </sheetView>
  </sheetViews>
  <sheetFormatPr baseColWidth="10" defaultRowHeight="13" x14ac:dyDescent="0.15"/>
  <cols>
    <col min="2" max="2" width="13.6640625" customWidth="1"/>
    <col min="4" max="4" width="21" customWidth="1"/>
  </cols>
  <sheetData>
    <row r="1" spans="1:5" s="2" customFormat="1" ht="16" x14ac:dyDescent="0.2">
      <c r="A1" s="5" t="s">
        <v>228</v>
      </c>
      <c r="B1" s="6" t="s">
        <v>229</v>
      </c>
      <c r="C1" s="6" t="s">
        <v>230</v>
      </c>
      <c r="D1" s="6" t="s">
        <v>152</v>
      </c>
      <c r="E1" s="6" t="s">
        <v>86</v>
      </c>
    </row>
    <row r="2" spans="1:5" s="1" customFormat="1" ht="16" x14ac:dyDescent="0.2">
      <c r="A2" s="9" t="s">
        <v>225</v>
      </c>
      <c r="B2" s="10" t="s">
        <v>250</v>
      </c>
      <c r="C2" s="12">
        <v>184</v>
      </c>
      <c r="D2" s="10"/>
      <c r="E2" s="10" t="s">
        <v>87</v>
      </c>
    </row>
    <row r="3" spans="1:5" ht="16" x14ac:dyDescent="0.2">
      <c r="A3" s="11" t="s">
        <v>113</v>
      </c>
      <c r="B3" s="11" t="s">
        <v>102</v>
      </c>
      <c r="C3" s="11">
        <v>189</v>
      </c>
      <c r="D3" s="11"/>
      <c r="E3" s="8" t="s">
        <v>87</v>
      </c>
    </row>
    <row r="4" spans="1:5" ht="16" x14ac:dyDescent="0.2">
      <c r="A4" s="11" t="s">
        <v>323</v>
      </c>
      <c r="B4" s="11" t="s">
        <v>324</v>
      </c>
      <c r="C4" s="11">
        <v>273</v>
      </c>
      <c r="D4" s="11"/>
      <c r="E4" s="8" t="s">
        <v>87</v>
      </c>
    </row>
    <row r="5" spans="1:5" ht="16" x14ac:dyDescent="0.2">
      <c r="A5" s="11" t="s">
        <v>47</v>
      </c>
      <c r="B5" s="11" t="s">
        <v>324</v>
      </c>
      <c r="C5" s="11">
        <v>266</v>
      </c>
      <c r="D5" s="11"/>
      <c r="E5" s="8" t="s">
        <v>87</v>
      </c>
    </row>
    <row r="6" spans="1:5" ht="15" x14ac:dyDescent="0.2">
      <c r="A6" s="11" t="s">
        <v>24</v>
      </c>
      <c r="B6" s="11" t="s">
        <v>56</v>
      </c>
      <c r="C6" s="11">
        <v>50</v>
      </c>
      <c r="D6" s="11"/>
      <c r="E6" s="11" t="s">
        <v>88</v>
      </c>
    </row>
    <row r="7" spans="1:5" ht="15" x14ac:dyDescent="0.2">
      <c r="A7" s="11" t="s">
        <v>26</v>
      </c>
      <c r="B7" s="11" t="s">
        <v>25</v>
      </c>
      <c r="C7" s="13" t="s">
        <v>181</v>
      </c>
      <c r="D7" s="11"/>
      <c r="E7" s="11" t="s">
        <v>87</v>
      </c>
    </row>
    <row r="8" spans="1:5" ht="15" x14ac:dyDescent="0.2">
      <c r="A8" s="11" t="s">
        <v>26</v>
      </c>
      <c r="B8" s="11" t="s">
        <v>180</v>
      </c>
      <c r="C8" s="11">
        <v>70</v>
      </c>
      <c r="D8" s="11"/>
      <c r="E8" s="11" t="s">
        <v>87</v>
      </c>
    </row>
    <row r="9" spans="1:5" ht="15" x14ac:dyDescent="0.2">
      <c r="A9" s="11" t="s">
        <v>232</v>
      </c>
      <c r="B9" s="11" t="s">
        <v>233</v>
      </c>
      <c r="C9" s="11">
        <v>172</v>
      </c>
      <c r="D9" s="11"/>
      <c r="E9" s="11" t="s">
        <v>87</v>
      </c>
    </row>
    <row r="10" spans="1:5" ht="15" x14ac:dyDescent="0.2">
      <c r="A10" s="11" t="s">
        <v>234</v>
      </c>
      <c r="B10" s="11" t="s">
        <v>235</v>
      </c>
      <c r="C10" s="11">
        <v>142</v>
      </c>
      <c r="D10" s="11"/>
      <c r="E10" s="11" t="s">
        <v>87</v>
      </c>
    </row>
    <row r="11" spans="1:5" ht="15" x14ac:dyDescent="0.2">
      <c r="A11" s="11" t="s">
        <v>150</v>
      </c>
      <c r="B11" s="11" t="s">
        <v>151</v>
      </c>
      <c r="C11" s="11">
        <v>196</v>
      </c>
      <c r="D11" s="11"/>
      <c r="E11" s="11" t="s">
        <v>87</v>
      </c>
    </row>
    <row r="12" spans="1:5" ht="15" x14ac:dyDescent="0.2">
      <c r="A12" s="11" t="s">
        <v>316</v>
      </c>
      <c r="B12" s="11" t="s">
        <v>235</v>
      </c>
      <c r="C12" s="11">
        <v>178</v>
      </c>
      <c r="D12" s="11"/>
      <c r="E12" s="11" t="s">
        <v>87</v>
      </c>
    </row>
    <row r="13" spans="1:5" ht="15" x14ac:dyDescent="0.2">
      <c r="A13" s="11" t="s">
        <v>125</v>
      </c>
      <c r="B13" s="11" t="s">
        <v>4</v>
      </c>
      <c r="C13" s="11">
        <v>110</v>
      </c>
      <c r="D13" s="11"/>
      <c r="E13" s="11" t="s">
        <v>87</v>
      </c>
    </row>
    <row r="14" spans="1:5" ht="15" x14ac:dyDescent="0.2">
      <c r="A14" s="11" t="s">
        <v>153</v>
      </c>
      <c r="B14" s="11" t="s">
        <v>154</v>
      </c>
      <c r="C14" s="11">
        <v>130</v>
      </c>
      <c r="D14" s="11"/>
      <c r="E14" s="11" t="s">
        <v>155</v>
      </c>
    </row>
    <row r="15" spans="1:5" ht="15" x14ac:dyDescent="0.2">
      <c r="A15" s="11" t="s">
        <v>156</v>
      </c>
      <c r="B15" s="11" t="s">
        <v>260</v>
      </c>
      <c r="C15" s="11">
        <v>287</v>
      </c>
      <c r="D15" s="11"/>
      <c r="E15" s="11" t="s">
        <v>263</v>
      </c>
    </row>
    <row r="16" spans="1:5" ht="15" x14ac:dyDescent="0.2">
      <c r="A16" s="11" t="s">
        <v>264</v>
      </c>
      <c r="B16" s="11" t="s">
        <v>265</v>
      </c>
      <c r="C16" s="11"/>
      <c r="D16" s="11"/>
      <c r="E16" s="11" t="s">
        <v>266</v>
      </c>
    </row>
    <row r="17" spans="1:5" ht="15" x14ac:dyDescent="0.2">
      <c r="A17" s="11" t="s">
        <v>241</v>
      </c>
      <c r="B17" s="11" t="s">
        <v>260</v>
      </c>
      <c r="C17" s="11">
        <v>278</v>
      </c>
      <c r="D17" s="11"/>
      <c r="E17" s="11" t="s">
        <v>242</v>
      </c>
    </row>
    <row r="18" spans="1:5" ht="15" x14ac:dyDescent="0.2">
      <c r="A18" s="11" t="s">
        <v>241</v>
      </c>
      <c r="B18" s="11" t="s">
        <v>265</v>
      </c>
      <c r="C18" s="11">
        <v>150</v>
      </c>
      <c r="D18" s="11"/>
      <c r="E18" s="11" t="s">
        <v>243</v>
      </c>
    </row>
    <row r="19" spans="1:5" ht="15" x14ac:dyDescent="0.2">
      <c r="A19" s="11" t="s">
        <v>244</v>
      </c>
      <c r="B19" s="11" t="s">
        <v>245</v>
      </c>
      <c r="C19" s="11">
        <v>210</v>
      </c>
      <c r="D19" s="11"/>
      <c r="E19" s="11" t="s">
        <v>263</v>
      </c>
    </row>
    <row r="20" spans="1:5" ht="15" x14ac:dyDescent="0.2">
      <c r="A20" s="11" t="s">
        <v>246</v>
      </c>
      <c r="B20" s="11" t="s">
        <v>247</v>
      </c>
      <c r="C20" s="11"/>
      <c r="D20" s="11"/>
      <c r="E20" s="11" t="s">
        <v>248</v>
      </c>
    </row>
    <row r="21" spans="1:5" ht="15" x14ac:dyDescent="0.2">
      <c r="A21" s="11" t="s">
        <v>249</v>
      </c>
      <c r="B21" s="11" t="s">
        <v>247</v>
      </c>
      <c r="C21" s="11"/>
      <c r="D21" s="11"/>
      <c r="E21" s="11" t="s">
        <v>248</v>
      </c>
    </row>
    <row r="22" spans="1:5" ht="24" customHeight="1" x14ac:dyDescent="0.2">
      <c r="A22" s="15"/>
      <c r="B22" s="15"/>
      <c r="C22" s="15"/>
      <c r="D22" s="15"/>
      <c r="E22" s="15"/>
    </row>
    <row r="23" spans="1:5" ht="15" x14ac:dyDescent="0.2">
      <c r="A23" s="14" t="s">
        <v>174</v>
      </c>
      <c r="B23" s="11" t="s">
        <v>261</v>
      </c>
      <c r="C23" s="11">
        <v>150</v>
      </c>
      <c r="D23" s="11"/>
      <c r="E23" s="11" t="s">
        <v>262</v>
      </c>
    </row>
    <row r="24" spans="1:5" ht="15" x14ac:dyDescent="0.2">
      <c r="A24" s="11" t="s">
        <v>31</v>
      </c>
      <c r="B24" s="11" t="s">
        <v>32</v>
      </c>
      <c r="C24" s="11">
        <v>425</v>
      </c>
      <c r="D24" s="11" t="s">
        <v>340</v>
      </c>
      <c r="E24" s="11" t="s">
        <v>263</v>
      </c>
    </row>
    <row r="25" spans="1:5" ht="15" x14ac:dyDescent="0.2">
      <c r="A25" s="11" t="s">
        <v>33</v>
      </c>
      <c r="B25" s="11" t="s">
        <v>34</v>
      </c>
      <c r="C25" s="11">
        <v>269</v>
      </c>
      <c r="D25" s="11" t="s">
        <v>340</v>
      </c>
      <c r="E25" s="11" t="s">
        <v>263</v>
      </c>
    </row>
    <row r="26" spans="1:5" ht="15" x14ac:dyDescent="0.2">
      <c r="A26" s="11" t="s">
        <v>77</v>
      </c>
      <c r="B26" s="11" t="s">
        <v>189</v>
      </c>
      <c r="C26" s="11">
        <v>81</v>
      </c>
      <c r="D26" s="11" t="s">
        <v>190</v>
      </c>
      <c r="E26" s="11" t="s">
        <v>263</v>
      </c>
    </row>
    <row r="27" spans="1:5" ht="15" x14ac:dyDescent="0.2">
      <c r="A27" s="11" t="s">
        <v>59</v>
      </c>
      <c r="B27" s="11" t="s">
        <v>159</v>
      </c>
      <c r="C27" s="11">
        <v>173</v>
      </c>
      <c r="D27" s="11"/>
      <c r="E27" s="11" t="s">
        <v>263</v>
      </c>
    </row>
    <row r="28" spans="1:5" ht="15" x14ac:dyDescent="0.2">
      <c r="A28" s="11" t="s">
        <v>60</v>
      </c>
      <c r="B28" s="11" t="s">
        <v>247</v>
      </c>
      <c r="C28" s="11">
        <v>75</v>
      </c>
      <c r="D28" s="11"/>
      <c r="E28" s="11" t="s">
        <v>147</v>
      </c>
    </row>
    <row r="29" spans="1:5" ht="15" x14ac:dyDescent="0.2">
      <c r="A29" s="11" t="s">
        <v>62</v>
      </c>
      <c r="B29" s="11" t="s">
        <v>114</v>
      </c>
      <c r="C29" s="11">
        <v>104</v>
      </c>
      <c r="D29" s="11"/>
      <c r="E29" s="11" t="s">
        <v>263</v>
      </c>
    </row>
    <row r="30" spans="1:5" ht="15" x14ac:dyDescent="0.2">
      <c r="A30" s="11" t="s">
        <v>61</v>
      </c>
      <c r="B30" s="11" t="s">
        <v>348</v>
      </c>
      <c r="C30" s="11">
        <v>160</v>
      </c>
      <c r="D30" s="11"/>
      <c r="E30" s="11" t="s">
        <v>263</v>
      </c>
    </row>
    <row r="31" spans="1:5" ht="15" x14ac:dyDescent="0.2">
      <c r="A31" s="11" t="s">
        <v>63</v>
      </c>
      <c r="B31" s="11" t="s">
        <v>265</v>
      </c>
      <c r="C31" s="11">
        <v>190</v>
      </c>
      <c r="D31" s="11" t="s">
        <v>149</v>
      </c>
      <c r="E31" s="11" t="s">
        <v>263</v>
      </c>
    </row>
    <row r="32" spans="1:5" ht="15" x14ac:dyDescent="0.2">
      <c r="A32" s="11" t="s">
        <v>64</v>
      </c>
      <c r="B32" s="11" t="s">
        <v>265</v>
      </c>
      <c r="C32" s="11">
        <v>132</v>
      </c>
      <c r="D32" s="11" t="s">
        <v>35</v>
      </c>
      <c r="E32" s="11" t="s">
        <v>263</v>
      </c>
    </row>
    <row r="33" spans="1:5" ht="15" x14ac:dyDescent="0.2">
      <c r="A33" s="11" t="s">
        <v>65</v>
      </c>
      <c r="B33" s="11" t="s">
        <v>201</v>
      </c>
      <c r="C33" s="11">
        <v>284</v>
      </c>
      <c r="D33" s="11"/>
      <c r="E33" s="11" t="s">
        <v>263</v>
      </c>
    </row>
    <row r="34" spans="1:5" ht="15" x14ac:dyDescent="0.2">
      <c r="A34" s="11" t="s">
        <v>66</v>
      </c>
      <c r="B34" s="11" t="s">
        <v>202</v>
      </c>
      <c r="C34" s="11">
        <v>80</v>
      </c>
      <c r="D34" s="11" t="s">
        <v>203</v>
      </c>
      <c r="E34" s="11" t="s">
        <v>263</v>
      </c>
    </row>
    <row r="35" spans="1:5" ht="15" x14ac:dyDescent="0.2">
      <c r="A35" s="11" t="s">
        <v>67</v>
      </c>
      <c r="B35" s="11" t="s">
        <v>204</v>
      </c>
      <c r="C35" s="11">
        <v>158</v>
      </c>
      <c r="D35" s="11"/>
      <c r="E35" s="11" t="s">
        <v>263</v>
      </c>
    </row>
    <row r="36" spans="1:5" ht="15" x14ac:dyDescent="0.2">
      <c r="A36" s="11" t="s">
        <v>68</v>
      </c>
      <c r="B36" s="11" t="s">
        <v>247</v>
      </c>
      <c r="C36" s="11">
        <v>70</v>
      </c>
      <c r="D36" s="11" t="s">
        <v>132</v>
      </c>
      <c r="E36" s="11" t="s">
        <v>262</v>
      </c>
    </row>
    <row r="37" spans="1:5" ht="15" x14ac:dyDescent="0.2">
      <c r="A37" s="11" t="s">
        <v>217</v>
      </c>
      <c r="B37" s="11" t="s">
        <v>218</v>
      </c>
      <c r="C37" s="11">
        <v>0</v>
      </c>
      <c r="D37" s="11" t="s">
        <v>307</v>
      </c>
      <c r="E37" s="11"/>
    </row>
    <row r="38" spans="1:5" ht="15" x14ac:dyDescent="0.2">
      <c r="A38" s="11" t="s">
        <v>143</v>
      </c>
      <c r="B38" s="11" t="s">
        <v>134</v>
      </c>
      <c r="C38" s="11">
        <v>100</v>
      </c>
      <c r="D38" s="11"/>
      <c r="E38" s="11" t="s">
        <v>239</v>
      </c>
    </row>
    <row r="39" spans="1:5" ht="15" x14ac:dyDescent="0.2">
      <c r="A39" s="11" t="s">
        <v>144</v>
      </c>
      <c r="B39" s="11" t="s">
        <v>135</v>
      </c>
      <c r="C39" s="11">
        <v>100</v>
      </c>
      <c r="D39" s="11"/>
      <c r="E39" s="11" t="s">
        <v>262</v>
      </c>
    </row>
    <row r="40" spans="1:5" ht="15" x14ac:dyDescent="0.2">
      <c r="A40" s="11" t="s">
        <v>145</v>
      </c>
      <c r="B40" s="11" t="s">
        <v>136</v>
      </c>
      <c r="C40" s="11">
        <v>435</v>
      </c>
      <c r="D40" s="11"/>
      <c r="E40" s="11" t="s">
        <v>263</v>
      </c>
    </row>
    <row r="41" spans="1:5" ht="15" x14ac:dyDescent="0.2">
      <c r="A41" s="11" t="s">
        <v>146</v>
      </c>
      <c r="B41" s="11" t="s">
        <v>136</v>
      </c>
      <c r="C41" s="11">
        <v>455</v>
      </c>
      <c r="D41" s="11"/>
      <c r="E41" s="11" t="s">
        <v>240</v>
      </c>
    </row>
    <row r="42" spans="1:5" ht="15" x14ac:dyDescent="0.2">
      <c r="A42" s="11" t="s">
        <v>97</v>
      </c>
      <c r="B42" s="11" t="s">
        <v>154</v>
      </c>
      <c r="C42" s="11">
        <v>100</v>
      </c>
      <c r="D42" s="11"/>
      <c r="E42" s="11" t="s">
        <v>262</v>
      </c>
    </row>
    <row r="43" spans="1:5" ht="15" x14ac:dyDescent="0.2">
      <c r="A43" s="11" t="s">
        <v>107</v>
      </c>
      <c r="B43" s="11" t="s">
        <v>137</v>
      </c>
      <c r="C43" s="11">
        <v>0</v>
      </c>
      <c r="D43" s="11" t="s">
        <v>133</v>
      </c>
      <c r="E43" s="11"/>
    </row>
    <row r="44" spans="1:5" ht="15" x14ac:dyDescent="0.2">
      <c r="A44" s="11" t="s">
        <v>108</v>
      </c>
      <c r="B44" s="11" t="s">
        <v>138</v>
      </c>
      <c r="C44" s="11">
        <v>230</v>
      </c>
      <c r="D44" s="11"/>
      <c r="E44" s="11" t="s">
        <v>263</v>
      </c>
    </row>
    <row r="45" spans="1:5" ht="15" x14ac:dyDescent="0.2">
      <c r="A45" s="16" t="s">
        <v>109</v>
      </c>
      <c r="B45" s="11" t="s">
        <v>139</v>
      </c>
      <c r="C45" s="11">
        <v>371</v>
      </c>
      <c r="D45" s="11" t="s">
        <v>100</v>
      </c>
      <c r="E45" s="11" t="s">
        <v>263</v>
      </c>
    </row>
    <row r="46" spans="1:5" ht="15" x14ac:dyDescent="0.2">
      <c r="A46" s="16" t="s">
        <v>109</v>
      </c>
      <c r="B46" s="11" t="s">
        <v>140</v>
      </c>
      <c r="C46" s="11">
        <v>301</v>
      </c>
      <c r="D46" s="11" t="s">
        <v>100</v>
      </c>
      <c r="E46" s="11" t="s">
        <v>263</v>
      </c>
    </row>
    <row r="47" spans="1:5" ht="15" x14ac:dyDescent="0.2">
      <c r="A47" s="16" t="s">
        <v>148</v>
      </c>
      <c r="B47" s="11" t="s">
        <v>140</v>
      </c>
      <c r="C47" s="11">
        <v>87</v>
      </c>
      <c r="D47" s="11"/>
      <c r="E47" s="11" t="s">
        <v>101</v>
      </c>
    </row>
    <row r="48" spans="1:5" ht="15" x14ac:dyDescent="0.2">
      <c r="A48" s="16" t="s">
        <v>186</v>
      </c>
      <c r="B48" s="11" t="s">
        <v>141</v>
      </c>
      <c r="C48" s="11">
        <v>248</v>
      </c>
      <c r="D48" s="11" t="s">
        <v>17</v>
      </c>
      <c r="E48" s="11" t="s">
        <v>101</v>
      </c>
    </row>
    <row r="49" spans="1:5" ht="15" x14ac:dyDescent="0.2">
      <c r="A49" s="16" t="s">
        <v>187</v>
      </c>
      <c r="B49" s="11" t="s">
        <v>142</v>
      </c>
      <c r="C49" s="11"/>
      <c r="D49" s="11"/>
      <c r="E49" s="11" t="s">
        <v>16</v>
      </c>
    </row>
    <row r="50" spans="1:5" ht="15" x14ac:dyDescent="0.2">
      <c r="A50" s="16" t="s">
        <v>188</v>
      </c>
      <c r="B50" s="11" t="s">
        <v>247</v>
      </c>
      <c r="C50" s="11"/>
      <c r="D50" s="11"/>
      <c r="E50" s="11" t="s">
        <v>16</v>
      </c>
    </row>
    <row r="51" spans="1:5" ht="15" x14ac:dyDescent="0.2">
      <c r="A51" s="17"/>
      <c r="B51" s="11"/>
      <c r="C51" s="11"/>
      <c r="D51" s="11"/>
      <c r="E51" s="11"/>
    </row>
    <row r="52" spans="1:5" ht="15" x14ac:dyDescent="0.2">
      <c r="A52" s="16"/>
      <c r="B52" s="11"/>
      <c r="C52" s="11"/>
      <c r="D52" s="11"/>
      <c r="E52" s="11"/>
    </row>
    <row r="53" spans="1:5" ht="15" x14ac:dyDescent="0.2">
      <c r="A53" s="19" t="s">
        <v>121</v>
      </c>
      <c r="B53" s="11"/>
      <c r="C53" s="11"/>
      <c r="D53" s="11"/>
      <c r="E53" s="11"/>
    </row>
    <row r="54" spans="1:5" ht="15" x14ac:dyDescent="0.2">
      <c r="A54" s="16" t="s">
        <v>18</v>
      </c>
      <c r="B54" s="11" t="s">
        <v>19</v>
      </c>
      <c r="C54" s="11">
        <v>90</v>
      </c>
      <c r="D54" s="11" t="s">
        <v>20</v>
      </c>
      <c r="E54" s="11" t="s">
        <v>27</v>
      </c>
    </row>
    <row r="55" spans="1:5" ht="15" x14ac:dyDescent="0.2">
      <c r="A55" s="16"/>
      <c r="B55" s="11"/>
      <c r="C55" s="11"/>
      <c r="D55" s="11"/>
      <c r="E55" s="11"/>
    </row>
    <row r="56" spans="1:5" ht="15" x14ac:dyDescent="0.2">
      <c r="A56" s="16"/>
      <c r="B56" s="11"/>
      <c r="C56" s="11"/>
      <c r="D56" s="11"/>
      <c r="E56" s="11"/>
    </row>
    <row r="57" spans="1:5" ht="15" x14ac:dyDescent="0.2">
      <c r="A57" s="16"/>
      <c r="B57" s="11"/>
      <c r="C57" s="11"/>
      <c r="D57" s="11"/>
      <c r="E57" s="11"/>
    </row>
    <row r="58" spans="1:5" ht="15" x14ac:dyDescent="0.2">
      <c r="A58" s="16"/>
      <c r="B58" s="11"/>
      <c r="C58" s="11"/>
      <c r="D58" s="11"/>
      <c r="E58" s="11"/>
    </row>
    <row r="59" spans="1:5" ht="15" x14ac:dyDescent="0.2">
      <c r="A59" s="18"/>
      <c r="B59" s="18"/>
      <c r="C59" s="18"/>
      <c r="D59" s="18"/>
      <c r="E59" s="18"/>
    </row>
    <row r="60" spans="1:5" ht="15" x14ac:dyDescent="0.2">
      <c r="A60" s="18"/>
      <c r="B60" s="18"/>
      <c r="C60" s="18"/>
      <c r="D60" s="18"/>
      <c r="E60" s="18"/>
    </row>
    <row r="61" spans="1:5" ht="15" x14ac:dyDescent="0.2">
      <c r="A61" s="18"/>
      <c r="B61" s="18"/>
      <c r="C61" s="18"/>
      <c r="D61" s="18"/>
      <c r="E61" s="18"/>
    </row>
    <row r="62" spans="1:5" ht="15" x14ac:dyDescent="0.2">
      <c r="A62" s="18"/>
      <c r="B62" s="18"/>
      <c r="C62" s="18"/>
      <c r="D62" s="18"/>
      <c r="E62" s="18"/>
    </row>
    <row r="63" spans="1:5" ht="15" x14ac:dyDescent="0.2">
      <c r="A63" s="18"/>
      <c r="B63" s="18"/>
      <c r="C63" s="18"/>
      <c r="D63" s="18"/>
      <c r="E63" s="18"/>
    </row>
    <row r="64" spans="1:5" ht="15" x14ac:dyDescent="0.2">
      <c r="A64" s="18"/>
      <c r="B64" s="18"/>
      <c r="C64" s="18"/>
      <c r="D64" s="18"/>
      <c r="E64" s="18"/>
    </row>
    <row r="65" spans="1:5" ht="15" x14ac:dyDescent="0.2">
      <c r="A65" s="18"/>
      <c r="B65" s="18"/>
      <c r="C65" s="18"/>
      <c r="D65" s="18"/>
      <c r="E65" s="18"/>
    </row>
    <row r="66" spans="1:5" ht="15" x14ac:dyDescent="0.2">
      <c r="A66" s="18"/>
      <c r="B66" s="18"/>
      <c r="C66" s="18"/>
      <c r="D66" s="18"/>
      <c r="E66" s="18"/>
    </row>
    <row r="67" spans="1:5" ht="15" x14ac:dyDescent="0.2">
      <c r="A67" s="18"/>
      <c r="B67" s="18"/>
      <c r="C67" s="18"/>
      <c r="D67" s="18"/>
      <c r="E67" s="18"/>
    </row>
    <row r="68" spans="1:5" ht="15" x14ac:dyDescent="0.2">
      <c r="A68" s="18"/>
      <c r="B68" s="18"/>
      <c r="C68" s="18"/>
      <c r="D68" s="18"/>
      <c r="E68" s="18"/>
    </row>
    <row r="69" spans="1:5" ht="15" x14ac:dyDescent="0.2">
      <c r="A69" s="18"/>
      <c r="B69" s="18"/>
      <c r="C69" s="18"/>
      <c r="D69" s="18"/>
      <c r="E69" s="18"/>
    </row>
    <row r="70" spans="1:5" ht="15" x14ac:dyDescent="0.2">
      <c r="A70" s="18"/>
      <c r="B70" s="18"/>
      <c r="C70" s="18"/>
      <c r="D70" s="18"/>
      <c r="E70" s="18"/>
    </row>
    <row r="71" spans="1:5" ht="15" x14ac:dyDescent="0.2">
      <c r="A71" s="18"/>
      <c r="B71" s="18"/>
      <c r="C71" s="18"/>
      <c r="D71" s="18"/>
      <c r="E71" s="18"/>
    </row>
    <row r="72" spans="1:5" ht="15" x14ac:dyDescent="0.2">
      <c r="A72" s="18"/>
      <c r="B72" s="18"/>
      <c r="C72" s="18"/>
      <c r="D72" s="18"/>
      <c r="E72" s="18"/>
    </row>
    <row r="73" spans="1:5" ht="15" x14ac:dyDescent="0.2">
      <c r="A73" s="18"/>
      <c r="B73" s="18"/>
      <c r="C73" s="18"/>
      <c r="D73" s="18"/>
      <c r="E73" s="18"/>
    </row>
    <row r="74" spans="1:5" ht="15" x14ac:dyDescent="0.2">
      <c r="A74" s="18"/>
      <c r="B74" s="18"/>
      <c r="C74" s="18"/>
      <c r="D74" s="18"/>
      <c r="E74" s="18"/>
    </row>
    <row r="75" spans="1:5" ht="15" x14ac:dyDescent="0.2">
      <c r="A75" s="18"/>
      <c r="B75" s="18"/>
      <c r="C75" s="18"/>
      <c r="D75" s="18"/>
      <c r="E75" s="18"/>
    </row>
    <row r="76" spans="1:5" ht="15" x14ac:dyDescent="0.2">
      <c r="A76" s="18"/>
      <c r="B76" s="18"/>
      <c r="C76" s="18"/>
      <c r="D76" s="18"/>
      <c r="E76" s="18"/>
    </row>
    <row r="77" spans="1:5" ht="15" x14ac:dyDescent="0.2">
      <c r="A77" s="18"/>
      <c r="B77" s="18"/>
      <c r="C77" s="18"/>
      <c r="D77" s="18"/>
      <c r="E77" s="18"/>
    </row>
  </sheetData>
  <phoneticPr fontId="5" type="noConversion"/>
  <pageMargins left="0.75" right="0.75" top="1" bottom="1" header="0.5" footer="0.5"/>
  <pageSetup orientation="portrait" horizontalDpi="4294967292" verticalDpi="4294967292"/>
  <headerFooter alignWithMargins="0">
    <oddHeader>&amp;L2009-10 Event Attendance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E66"/>
  <sheetViews>
    <sheetView view="pageLayout" topLeftCell="A49" zoomScale="125" zoomScaleNormal="100" zoomScalePageLayoutView="125" workbookViewId="0">
      <selection activeCell="C34" sqref="C34"/>
    </sheetView>
  </sheetViews>
  <sheetFormatPr baseColWidth="10" defaultColWidth="10.6640625" defaultRowHeight="15" x14ac:dyDescent="0.2"/>
  <cols>
    <col min="1" max="1" width="10.6640625" style="3"/>
    <col min="2" max="2" width="20.6640625" style="1" customWidth="1"/>
    <col min="3" max="3" width="10.6640625" style="1"/>
    <col min="4" max="4" width="18.83203125" style="1" customWidth="1"/>
    <col min="5" max="5" width="11.83203125" style="1" customWidth="1"/>
    <col min="6" max="16384" width="10.6640625" style="1"/>
  </cols>
  <sheetData>
    <row r="1" spans="1:5" s="2" customFormat="1" ht="16" x14ac:dyDescent="0.2">
      <c r="A1" s="5" t="s">
        <v>228</v>
      </c>
      <c r="B1" s="6" t="s">
        <v>229</v>
      </c>
      <c r="C1" s="6" t="s">
        <v>230</v>
      </c>
      <c r="D1" s="6" t="s">
        <v>152</v>
      </c>
      <c r="E1" s="6" t="s">
        <v>86</v>
      </c>
    </row>
    <row r="2" spans="1:5" ht="16" x14ac:dyDescent="0.2">
      <c r="A2" s="7" t="s">
        <v>43</v>
      </c>
      <c r="B2" s="8" t="s">
        <v>250</v>
      </c>
      <c r="C2" s="8">
        <v>150</v>
      </c>
      <c r="D2" s="8"/>
      <c r="E2" s="8" t="s">
        <v>87</v>
      </c>
    </row>
    <row r="3" spans="1:5" ht="16" x14ac:dyDescent="0.2">
      <c r="A3" s="7" t="s">
        <v>44</v>
      </c>
      <c r="B3" s="8" t="s">
        <v>71</v>
      </c>
      <c r="C3" s="8" t="s">
        <v>73</v>
      </c>
      <c r="D3" s="8" t="s">
        <v>75</v>
      </c>
      <c r="E3" s="8" t="s">
        <v>88</v>
      </c>
    </row>
    <row r="4" spans="1:5" ht="16" x14ac:dyDescent="0.2">
      <c r="A4" s="7" t="s">
        <v>45</v>
      </c>
      <c r="B4" s="8" t="s">
        <v>72</v>
      </c>
      <c r="C4" s="8">
        <v>124</v>
      </c>
      <c r="D4" s="8"/>
      <c r="E4" s="8" t="s">
        <v>87</v>
      </c>
    </row>
    <row r="5" spans="1:5" ht="16" x14ac:dyDescent="0.2">
      <c r="A5" s="7" t="s">
        <v>46</v>
      </c>
      <c r="B5" s="8" t="s">
        <v>74</v>
      </c>
      <c r="C5" s="8">
        <v>250</v>
      </c>
      <c r="D5" s="8"/>
      <c r="E5" s="8" t="s">
        <v>87</v>
      </c>
    </row>
    <row r="6" spans="1:5" ht="16" x14ac:dyDescent="0.2">
      <c r="A6" s="7" t="s">
        <v>47</v>
      </c>
      <c r="B6" s="8" t="s">
        <v>76</v>
      </c>
      <c r="C6" s="8">
        <v>245</v>
      </c>
      <c r="D6" s="8"/>
      <c r="E6" s="8" t="s">
        <v>87</v>
      </c>
    </row>
    <row r="7" spans="1:5" ht="16" x14ac:dyDescent="0.2">
      <c r="A7" s="7" t="s">
        <v>48</v>
      </c>
      <c r="B7" s="8" t="s">
        <v>76</v>
      </c>
      <c r="C7" s="8">
        <v>282</v>
      </c>
      <c r="D7" s="8"/>
      <c r="E7" s="8" t="s">
        <v>87</v>
      </c>
    </row>
    <row r="8" spans="1:5" ht="16" x14ac:dyDescent="0.2">
      <c r="A8" s="7" t="s">
        <v>49</v>
      </c>
      <c r="B8" s="8" t="s">
        <v>55</v>
      </c>
      <c r="C8" s="8">
        <v>130</v>
      </c>
      <c r="D8" s="8"/>
      <c r="E8" s="8" t="s">
        <v>87</v>
      </c>
    </row>
    <row r="9" spans="1:5" ht="16" x14ac:dyDescent="0.2">
      <c r="A9" s="7" t="s">
        <v>335</v>
      </c>
      <c r="B9" s="8" t="s">
        <v>56</v>
      </c>
      <c r="C9" s="8">
        <v>80</v>
      </c>
      <c r="D9" s="8" t="s">
        <v>75</v>
      </c>
      <c r="E9" s="8" t="s">
        <v>88</v>
      </c>
    </row>
    <row r="10" spans="1:5" ht="16" x14ac:dyDescent="0.2">
      <c r="A10" s="7" t="s">
        <v>57</v>
      </c>
      <c r="B10" s="8" t="s">
        <v>58</v>
      </c>
      <c r="C10" s="8">
        <v>120</v>
      </c>
      <c r="D10" s="8" t="s">
        <v>178</v>
      </c>
      <c r="E10" s="8" t="s">
        <v>87</v>
      </c>
    </row>
    <row r="11" spans="1:5" ht="32" x14ac:dyDescent="0.2">
      <c r="A11" s="7" t="s">
        <v>175</v>
      </c>
      <c r="B11" s="8" t="s">
        <v>176</v>
      </c>
      <c r="C11" s="8">
        <v>15</v>
      </c>
      <c r="D11" s="8" t="s">
        <v>177</v>
      </c>
      <c r="E11" s="8" t="s">
        <v>88</v>
      </c>
    </row>
    <row r="12" spans="1:5" ht="16" x14ac:dyDescent="0.2">
      <c r="A12" s="7" t="s">
        <v>316</v>
      </c>
      <c r="B12" s="8" t="s">
        <v>317</v>
      </c>
      <c r="C12" s="8">
        <v>108</v>
      </c>
      <c r="D12" s="8" t="s">
        <v>179</v>
      </c>
      <c r="E12" s="8" t="s">
        <v>87</v>
      </c>
    </row>
    <row r="13" spans="1:5" ht="16" x14ac:dyDescent="0.2">
      <c r="A13" s="7" t="s">
        <v>83</v>
      </c>
      <c r="B13" s="8" t="s">
        <v>122</v>
      </c>
      <c r="C13" s="8" t="s">
        <v>307</v>
      </c>
      <c r="D13" s="8"/>
      <c r="E13" s="8" t="s">
        <v>88</v>
      </c>
    </row>
    <row r="14" spans="1:5" ht="16" x14ac:dyDescent="0.2">
      <c r="A14" s="7" t="s">
        <v>123</v>
      </c>
      <c r="B14" s="8" t="s">
        <v>124</v>
      </c>
      <c r="C14" s="8" t="s">
        <v>90</v>
      </c>
      <c r="D14" s="8"/>
      <c r="E14" s="8" t="s">
        <v>88</v>
      </c>
    </row>
    <row r="15" spans="1:5" ht="16" x14ac:dyDescent="0.2">
      <c r="A15" s="7" t="s">
        <v>125</v>
      </c>
      <c r="B15" s="8" t="s">
        <v>126</v>
      </c>
      <c r="C15" s="8">
        <v>100</v>
      </c>
      <c r="D15" s="8"/>
      <c r="E15" s="8" t="s">
        <v>87</v>
      </c>
    </row>
    <row r="16" spans="1:5" ht="16" x14ac:dyDescent="0.2">
      <c r="A16" s="7" t="s">
        <v>319</v>
      </c>
      <c r="B16" s="8" t="s">
        <v>126</v>
      </c>
      <c r="C16" s="8">
        <v>113</v>
      </c>
      <c r="D16" s="8"/>
      <c r="E16" s="8" t="s">
        <v>87</v>
      </c>
    </row>
    <row r="17" spans="1:5" ht="32" x14ac:dyDescent="0.2">
      <c r="A17" s="7" t="s">
        <v>320</v>
      </c>
      <c r="B17" s="8" t="s">
        <v>321</v>
      </c>
      <c r="C17" s="8">
        <v>120</v>
      </c>
      <c r="D17" s="8"/>
      <c r="E17" s="8" t="s">
        <v>88</v>
      </c>
    </row>
    <row r="18" spans="1:5" ht="16" x14ac:dyDescent="0.2">
      <c r="A18" s="7" t="s">
        <v>322</v>
      </c>
      <c r="B18" s="8" t="s">
        <v>40</v>
      </c>
      <c r="C18" s="8">
        <v>398</v>
      </c>
      <c r="D18" s="33" t="s">
        <v>408</v>
      </c>
      <c r="E18" s="8" t="s">
        <v>87</v>
      </c>
    </row>
    <row r="19" spans="1:5" ht="16" x14ac:dyDescent="0.2">
      <c r="A19" s="7" t="s">
        <v>37</v>
      </c>
      <c r="B19" s="8" t="s">
        <v>76</v>
      </c>
      <c r="C19" s="8" t="s">
        <v>90</v>
      </c>
      <c r="D19" s="8"/>
      <c r="E19" s="8" t="s">
        <v>308</v>
      </c>
    </row>
    <row r="20" spans="1:5" ht="16" x14ac:dyDescent="0.2">
      <c r="A20" s="7" t="s">
        <v>36</v>
      </c>
      <c r="B20" s="8" t="s">
        <v>40</v>
      </c>
      <c r="C20" s="8">
        <v>558</v>
      </c>
      <c r="D20" s="33" t="s">
        <v>408</v>
      </c>
      <c r="E20" s="8" t="s">
        <v>87</v>
      </c>
    </row>
    <row r="21" spans="1:5" ht="16" x14ac:dyDescent="0.2">
      <c r="A21" s="7" t="s">
        <v>36</v>
      </c>
      <c r="B21" s="8" t="s">
        <v>76</v>
      </c>
      <c r="C21" s="8" t="s">
        <v>90</v>
      </c>
      <c r="D21" s="8"/>
      <c r="E21" s="8" t="s">
        <v>308</v>
      </c>
    </row>
    <row r="22" spans="1:5" ht="16" x14ac:dyDescent="0.2">
      <c r="A22" s="7" t="s">
        <v>38</v>
      </c>
      <c r="B22" s="8" t="s">
        <v>39</v>
      </c>
      <c r="C22" s="8" t="s">
        <v>110</v>
      </c>
      <c r="D22" s="8"/>
      <c r="E22" s="8" t="s">
        <v>87</v>
      </c>
    </row>
    <row r="23" spans="1:5" ht="16" x14ac:dyDescent="0.2">
      <c r="A23" s="7" t="s">
        <v>41</v>
      </c>
      <c r="B23" s="8" t="s">
        <v>56</v>
      </c>
      <c r="C23" s="8" t="s">
        <v>90</v>
      </c>
      <c r="D23" s="8"/>
      <c r="E23" s="8" t="s">
        <v>88</v>
      </c>
    </row>
    <row r="24" spans="1:5" ht="16" x14ac:dyDescent="0.2">
      <c r="A24" s="7" t="s">
        <v>42</v>
      </c>
      <c r="B24" s="8" t="s">
        <v>56</v>
      </c>
      <c r="C24" s="8" t="s">
        <v>90</v>
      </c>
      <c r="D24" s="8"/>
      <c r="E24" s="8" t="s">
        <v>88</v>
      </c>
    </row>
    <row r="25" spans="1:5" ht="14" customHeight="1" x14ac:dyDescent="0.2">
      <c r="A25" s="1"/>
    </row>
    <row r="26" spans="1:5" ht="16" x14ac:dyDescent="0.2">
      <c r="A26" s="4">
        <v>2009</v>
      </c>
    </row>
    <row r="27" spans="1:5" ht="16" x14ac:dyDescent="0.2">
      <c r="A27" s="7" t="s">
        <v>104</v>
      </c>
      <c r="B27" s="8" t="s">
        <v>91</v>
      </c>
      <c r="C27" s="8">
        <v>100</v>
      </c>
      <c r="D27" s="8"/>
      <c r="E27" s="8" t="s">
        <v>88</v>
      </c>
    </row>
    <row r="28" spans="1:5" ht="16" x14ac:dyDescent="0.2">
      <c r="A28" s="7" t="s">
        <v>309</v>
      </c>
      <c r="B28" s="8" t="s">
        <v>310</v>
      </c>
      <c r="C28" s="8">
        <v>234</v>
      </c>
      <c r="D28" s="8" t="s">
        <v>339</v>
      </c>
      <c r="E28" s="8" t="s">
        <v>87</v>
      </c>
    </row>
    <row r="29" spans="1:5" ht="32" x14ac:dyDescent="0.2">
      <c r="A29" s="7" t="s">
        <v>311</v>
      </c>
      <c r="B29" s="8" t="s">
        <v>312</v>
      </c>
      <c r="C29" s="8">
        <v>292</v>
      </c>
      <c r="D29" s="8" t="s">
        <v>406</v>
      </c>
      <c r="E29" s="8" t="s">
        <v>87</v>
      </c>
    </row>
    <row r="30" spans="1:5" ht="16" x14ac:dyDescent="0.2">
      <c r="A30" s="7" t="s">
        <v>313</v>
      </c>
      <c r="B30" s="8" t="s">
        <v>9</v>
      </c>
      <c r="C30" s="8">
        <v>70</v>
      </c>
      <c r="D30" s="8"/>
      <c r="E30" s="8" t="s">
        <v>88</v>
      </c>
    </row>
    <row r="31" spans="1:5" ht="16" x14ac:dyDescent="0.2">
      <c r="A31" s="7" t="s">
        <v>92</v>
      </c>
      <c r="B31" s="8" t="s">
        <v>10</v>
      </c>
      <c r="C31" s="8" t="s">
        <v>85</v>
      </c>
      <c r="D31" s="8"/>
      <c r="E31" s="8" t="s">
        <v>88</v>
      </c>
    </row>
    <row r="32" spans="1:5" ht="16" x14ac:dyDescent="0.2">
      <c r="A32" s="7" t="s">
        <v>11</v>
      </c>
      <c r="B32" s="8" t="s">
        <v>111</v>
      </c>
      <c r="C32" s="8">
        <v>104</v>
      </c>
      <c r="D32" s="8" t="s">
        <v>84</v>
      </c>
      <c r="E32" s="8" t="s">
        <v>87</v>
      </c>
    </row>
    <row r="33" spans="1:5" ht="32" x14ac:dyDescent="0.2">
      <c r="A33" s="7" t="s">
        <v>343</v>
      </c>
      <c r="B33" s="8" t="s">
        <v>56</v>
      </c>
      <c r="C33" s="8">
        <v>35</v>
      </c>
      <c r="D33" s="8" t="s">
        <v>112</v>
      </c>
      <c r="E33" s="8" t="s">
        <v>88</v>
      </c>
    </row>
    <row r="34" spans="1:5" ht="16" x14ac:dyDescent="0.2">
      <c r="A34" s="7" t="s">
        <v>171</v>
      </c>
      <c r="B34" s="8" t="s">
        <v>76</v>
      </c>
      <c r="C34" s="8">
        <v>260</v>
      </c>
      <c r="D34" s="8"/>
      <c r="E34" s="8" t="s">
        <v>87</v>
      </c>
    </row>
    <row r="35" spans="1:5" ht="16" x14ac:dyDescent="0.2">
      <c r="A35" s="7" t="s">
        <v>172</v>
      </c>
      <c r="B35" s="8" t="s">
        <v>76</v>
      </c>
      <c r="C35" s="8">
        <v>215</v>
      </c>
      <c r="D35" s="8"/>
      <c r="E35" s="8" t="s">
        <v>87</v>
      </c>
    </row>
    <row r="36" spans="1:5" ht="16" x14ac:dyDescent="0.2">
      <c r="A36" s="7" t="s">
        <v>173</v>
      </c>
      <c r="B36" s="8" t="s">
        <v>231</v>
      </c>
      <c r="C36" s="8">
        <v>125</v>
      </c>
      <c r="D36" s="8"/>
      <c r="E36" s="8" t="s">
        <v>88</v>
      </c>
    </row>
    <row r="37" spans="1:5" ht="16" x14ac:dyDescent="0.2">
      <c r="A37" s="7" t="s">
        <v>5</v>
      </c>
      <c r="B37" s="8" t="s">
        <v>6</v>
      </c>
      <c r="C37" s="8">
        <v>90</v>
      </c>
      <c r="D37" s="8"/>
      <c r="E37" s="8" t="s">
        <v>87</v>
      </c>
    </row>
    <row r="38" spans="1:5" ht="32" x14ac:dyDescent="0.2">
      <c r="A38" s="7" t="s">
        <v>344</v>
      </c>
      <c r="B38" s="8" t="s">
        <v>50</v>
      </c>
      <c r="C38" s="8">
        <v>100</v>
      </c>
      <c r="D38" s="8"/>
      <c r="E38" s="8" t="s">
        <v>88</v>
      </c>
    </row>
    <row r="39" spans="1:5" ht="16" x14ac:dyDescent="0.2">
      <c r="A39" s="7" t="s">
        <v>7</v>
      </c>
      <c r="B39" s="8" t="s">
        <v>8</v>
      </c>
      <c r="C39" s="8">
        <v>182</v>
      </c>
      <c r="D39" s="8"/>
      <c r="E39" s="8" t="s">
        <v>87</v>
      </c>
    </row>
    <row r="40" spans="1:5" ht="16" x14ac:dyDescent="0.2">
      <c r="A40" s="7" t="s">
        <v>89</v>
      </c>
      <c r="B40" s="8" t="s">
        <v>334</v>
      </c>
      <c r="C40" s="8">
        <v>25</v>
      </c>
      <c r="D40" s="8"/>
      <c r="E40" s="8" t="s">
        <v>88</v>
      </c>
    </row>
    <row r="41" spans="1:5" ht="16" x14ac:dyDescent="0.2">
      <c r="A41" s="7" t="s">
        <v>105</v>
      </c>
      <c r="B41" s="8" t="s">
        <v>106</v>
      </c>
      <c r="C41" s="8">
        <v>221</v>
      </c>
      <c r="D41" s="8"/>
      <c r="E41" s="8" t="s">
        <v>87</v>
      </c>
    </row>
    <row r="42" spans="1:5" ht="16" x14ac:dyDescent="0.2">
      <c r="A42" s="7" t="s">
        <v>118</v>
      </c>
      <c r="B42" s="8" t="s">
        <v>119</v>
      </c>
      <c r="C42" s="8">
        <v>61</v>
      </c>
      <c r="D42" s="8"/>
      <c r="E42" s="8" t="s">
        <v>87</v>
      </c>
    </row>
    <row r="43" spans="1:5" ht="16" x14ac:dyDescent="0.2">
      <c r="A43" s="7" t="s">
        <v>51</v>
      </c>
      <c r="B43" s="8" t="s">
        <v>336</v>
      </c>
      <c r="C43" s="8">
        <v>135</v>
      </c>
      <c r="D43" s="8"/>
      <c r="E43" s="8" t="s">
        <v>88</v>
      </c>
    </row>
    <row r="44" spans="1:5" ht="32" x14ac:dyDescent="0.2">
      <c r="A44" s="7" t="s">
        <v>52</v>
      </c>
      <c r="B44" s="8" t="s">
        <v>56</v>
      </c>
      <c r="C44" s="8">
        <v>35</v>
      </c>
      <c r="D44" s="8" t="s">
        <v>112</v>
      </c>
      <c r="E44" s="8" t="s">
        <v>88</v>
      </c>
    </row>
    <row r="45" spans="1:5" ht="16" x14ac:dyDescent="0.2">
      <c r="A45" s="7" t="s">
        <v>325</v>
      </c>
      <c r="B45" s="8" t="s">
        <v>337</v>
      </c>
      <c r="C45" s="8">
        <v>57</v>
      </c>
      <c r="D45" s="8"/>
      <c r="E45" s="8" t="s">
        <v>87</v>
      </c>
    </row>
    <row r="46" spans="1:5" ht="16" x14ac:dyDescent="0.2">
      <c r="A46" s="7" t="s">
        <v>214</v>
      </c>
      <c r="B46" s="8" t="s">
        <v>120</v>
      </c>
      <c r="C46" s="8">
        <v>335</v>
      </c>
      <c r="D46" s="8"/>
      <c r="E46" s="8" t="s">
        <v>87</v>
      </c>
    </row>
    <row r="47" spans="1:5" ht="16" x14ac:dyDescent="0.2">
      <c r="A47" s="7" t="s">
        <v>209</v>
      </c>
      <c r="B47" s="8" t="s">
        <v>21</v>
      </c>
      <c r="C47" s="8">
        <v>82</v>
      </c>
      <c r="D47" s="8"/>
      <c r="E47" s="8" t="s">
        <v>87</v>
      </c>
    </row>
    <row r="48" spans="1:5" ht="16" x14ac:dyDescent="0.2">
      <c r="A48" s="7" t="s">
        <v>326</v>
      </c>
      <c r="B48" s="8" t="s">
        <v>338</v>
      </c>
      <c r="C48" s="8">
        <v>77</v>
      </c>
      <c r="D48" s="8"/>
      <c r="E48" s="8" t="s">
        <v>87</v>
      </c>
    </row>
    <row r="49" spans="1:5" ht="16" x14ac:dyDescent="0.2">
      <c r="A49" s="7" t="s">
        <v>327</v>
      </c>
      <c r="B49" s="8" t="s">
        <v>328</v>
      </c>
      <c r="C49" s="8">
        <v>100</v>
      </c>
      <c r="D49" s="8"/>
      <c r="E49" s="8" t="s">
        <v>87</v>
      </c>
    </row>
    <row r="50" spans="1:5" ht="16" x14ac:dyDescent="0.2">
      <c r="A50" s="7" t="s">
        <v>93</v>
      </c>
      <c r="B50" s="8" t="s">
        <v>94</v>
      </c>
      <c r="C50" s="8">
        <v>80</v>
      </c>
      <c r="D50" s="8"/>
      <c r="E50" s="8" t="s">
        <v>88</v>
      </c>
    </row>
    <row r="51" spans="1:5" ht="16" x14ac:dyDescent="0.2">
      <c r="A51" s="7" t="s">
        <v>329</v>
      </c>
      <c r="B51" s="8" t="s">
        <v>330</v>
      </c>
      <c r="C51" s="8">
        <v>106</v>
      </c>
      <c r="D51" s="8"/>
      <c r="E51" s="8" t="s">
        <v>88</v>
      </c>
    </row>
    <row r="52" spans="1:5" ht="16" x14ac:dyDescent="0.2">
      <c r="A52" s="7" t="s">
        <v>183</v>
      </c>
      <c r="B52" s="8" t="s">
        <v>23</v>
      </c>
      <c r="C52" s="8">
        <v>275</v>
      </c>
      <c r="D52" s="8"/>
      <c r="E52" s="8" t="s">
        <v>87</v>
      </c>
    </row>
    <row r="53" spans="1:5" ht="16" x14ac:dyDescent="0.2">
      <c r="A53" s="7" t="s">
        <v>22</v>
      </c>
      <c r="B53" s="8" t="s">
        <v>331</v>
      </c>
      <c r="C53" s="8">
        <v>250</v>
      </c>
      <c r="D53" s="8"/>
      <c r="E53" s="8" t="s">
        <v>88</v>
      </c>
    </row>
    <row r="54" spans="1:5" ht="16" x14ac:dyDescent="0.2">
      <c r="A54" s="7" t="s">
        <v>182</v>
      </c>
      <c r="B54" s="8" t="s">
        <v>23</v>
      </c>
      <c r="C54" s="8">
        <v>367</v>
      </c>
      <c r="D54" s="8"/>
      <c r="E54" s="8" t="s">
        <v>87</v>
      </c>
    </row>
    <row r="55" spans="1:5" ht="16" x14ac:dyDescent="0.2">
      <c r="A55" s="7" t="s">
        <v>215</v>
      </c>
      <c r="B55" s="8" t="s">
        <v>213</v>
      </c>
      <c r="C55" s="8">
        <v>130</v>
      </c>
      <c r="D55" s="8"/>
      <c r="E55" s="8" t="s">
        <v>88</v>
      </c>
    </row>
    <row r="56" spans="1:5" ht="16" x14ac:dyDescent="0.2">
      <c r="A56" s="7" t="s">
        <v>216</v>
      </c>
      <c r="B56" s="8" t="s">
        <v>251</v>
      </c>
      <c r="C56" s="8">
        <v>181</v>
      </c>
      <c r="D56" s="8"/>
      <c r="E56" s="8" t="s">
        <v>87</v>
      </c>
    </row>
    <row r="57" spans="1:5" ht="16" x14ac:dyDescent="0.2">
      <c r="A57" s="7" t="s">
        <v>252</v>
      </c>
      <c r="B57" s="8" t="s">
        <v>251</v>
      </c>
      <c r="C57" s="8">
        <v>470</v>
      </c>
      <c r="D57" s="8" t="s">
        <v>227</v>
      </c>
      <c r="E57" s="8" t="s">
        <v>87</v>
      </c>
    </row>
    <row r="58" spans="1:5" ht="16" x14ac:dyDescent="0.2">
      <c r="A58" s="7" t="s">
        <v>252</v>
      </c>
      <c r="B58" s="8" t="s">
        <v>126</v>
      </c>
      <c r="C58" s="8">
        <v>304</v>
      </c>
      <c r="D58" s="8" t="s">
        <v>227</v>
      </c>
      <c r="E58" s="8" t="s">
        <v>87</v>
      </c>
    </row>
    <row r="59" spans="1:5" ht="16" x14ac:dyDescent="0.2">
      <c r="A59" s="7" t="s">
        <v>341</v>
      </c>
      <c r="B59" s="8" t="s">
        <v>126</v>
      </c>
      <c r="C59" s="8">
        <v>109</v>
      </c>
      <c r="D59" s="8"/>
      <c r="E59" s="8" t="s">
        <v>87</v>
      </c>
    </row>
    <row r="60" spans="1:5" ht="16" x14ac:dyDescent="0.2">
      <c r="A60" s="7" t="s">
        <v>342</v>
      </c>
      <c r="B60" s="8" t="s">
        <v>39</v>
      </c>
      <c r="C60" s="8"/>
      <c r="D60" s="8"/>
      <c r="E60" s="8" t="s">
        <v>87</v>
      </c>
    </row>
    <row r="61" spans="1:5" ht="16" x14ac:dyDescent="0.2">
      <c r="A61" s="7" t="s">
        <v>332</v>
      </c>
      <c r="B61" s="8" t="s">
        <v>56</v>
      </c>
      <c r="C61" s="8">
        <v>70</v>
      </c>
      <c r="D61" s="8"/>
      <c r="E61" s="8" t="s">
        <v>88</v>
      </c>
    </row>
    <row r="62" spans="1:5" ht="16" x14ac:dyDescent="0.2">
      <c r="A62" s="7" t="s">
        <v>333</v>
      </c>
      <c r="B62" s="8" t="s">
        <v>56</v>
      </c>
      <c r="C62" s="8">
        <v>50</v>
      </c>
      <c r="D62" s="8"/>
      <c r="E62" s="8" t="s">
        <v>88</v>
      </c>
    </row>
    <row r="63" spans="1:5" ht="16" x14ac:dyDescent="0.2">
      <c r="A63" s="7" t="s">
        <v>95</v>
      </c>
      <c r="B63" s="8" t="s">
        <v>96</v>
      </c>
      <c r="C63" s="8">
        <v>65</v>
      </c>
      <c r="D63" s="8"/>
      <c r="E63" s="8" t="s">
        <v>88</v>
      </c>
    </row>
    <row r="64" spans="1:5" ht="16" x14ac:dyDescent="0.2">
      <c r="A64" s="7" t="s">
        <v>220</v>
      </c>
      <c r="B64" s="8" t="s">
        <v>221</v>
      </c>
      <c r="C64" s="8">
        <v>75</v>
      </c>
      <c r="D64" s="8"/>
      <c r="E64" s="8" t="s">
        <v>88</v>
      </c>
    </row>
    <row r="65" spans="1:5" ht="16" x14ac:dyDescent="0.2">
      <c r="A65" s="7" t="s">
        <v>222</v>
      </c>
      <c r="B65" s="8" t="s">
        <v>223</v>
      </c>
      <c r="C65" s="8">
        <v>270</v>
      </c>
      <c r="D65" s="8" t="s">
        <v>224</v>
      </c>
      <c r="E65" s="8" t="s">
        <v>88</v>
      </c>
    </row>
    <row r="66" spans="1:5" ht="32" x14ac:dyDescent="0.2">
      <c r="A66" s="3">
        <v>38474</v>
      </c>
      <c r="B66" s="1" t="s">
        <v>103</v>
      </c>
      <c r="C66" s="1">
        <v>73</v>
      </c>
      <c r="D66" s="1" t="s">
        <v>226</v>
      </c>
      <c r="E66" s="1" t="s">
        <v>87</v>
      </c>
    </row>
  </sheetData>
  <phoneticPr fontId="5" type="noConversion"/>
  <pageMargins left="0.5" right="0.5" top="1" bottom="1" header="0.5" footer="0.5"/>
  <pageSetup orientation="portrait" horizontalDpi="4294967292" verticalDpi="4294967292"/>
  <headerFooter alignWithMargins="0">
    <oddHeader>&amp;L2008-9 Event Attendance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2024-25</vt:lpstr>
      <vt:lpstr>2023-24</vt:lpstr>
      <vt:lpstr>2022-23</vt:lpstr>
      <vt:lpstr>2021-22</vt:lpstr>
      <vt:lpstr>2019-20</vt:lpstr>
      <vt:lpstr>2018-19</vt:lpstr>
      <vt:lpstr>2017-18</vt:lpstr>
      <vt:lpstr>2016-17</vt:lpstr>
      <vt:lpstr>2015-16</vt:lpstr>
      <vt:lpstr>2014-15</vt:lpstr>
      <vt:lpstr>2013-14</vt:lpstr>
      <vt:lpstr>2012-13</vt:lpstr>
      <vt:lpstr>2011-12</vt:lpstr>
      <vt:lpstr>2010-11</vt:lpstr>
      <vt:lpstr>2009-10</vt:lpstr>
      <vt:lpstr>2008-09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Pomona College</dc:creator>
  <cp:lastModifiedBy>Jazzmin Duncan</cp:lastModifiedBy>
  <cp:lastPrinted>2009-03-09T16:08:41Z</cp:lastPrinted>
  <dcterms:created xsi:type="dcterms:W3CDTF">2008-09-26T23:24:17Z</dcterms:created>
  <dcterms:modified xsi:type="dcterms:W3CDTF">2026-09-16T23:25:01Z</dcterms:modified>
</cp:coreProperties>
</file>